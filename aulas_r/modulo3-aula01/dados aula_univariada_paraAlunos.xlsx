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gressão" sheetId="1" state="visible" r:id="rId3"/>
    <sheet name="validação" sheetId="2" state="visible" r:id="rId4"/>
    <sheet name="ANOVA" sheetId="3" state="visible" r:id="rId5"/>
    <sheet name="Residuo" sheetId="4" state="visible" r:id="rId6"/>
    <sheet name="intervalo de confianç" sheetId="5" state="visible" r:id="rId7"/>
    <sheet name="LD e LQ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<sst xmlns="http://schemas.openxmlformats.org/spreadsheetml/2006/main" count="97" uniqueCount="78">
  <si>
    <t xml:space="preserve">Concentração</t>
  </si>
  <si>
    <t xml:space="preserve">resposta</t>
  </si>
  <si>
    <t xml:space="preserve">Padrão de Mn</t>
  </si>
  <si>
    <t xml:space="preserve">Calcular</t>
  </si>
  <si>
    <t xml:space="preserve">Ver em tabela</t>
  </si>
  <si>
    <t xml:space="preserve">medida 1</t>
  </si>
  <si>
    <t xml:space="preserve">medida 2</t>
  </si>
  <si>
    <t xml:space="preserve">medida 3</t>
  </si>
  <si>
    <t xml:space="preserve">média </t>
  </si>
  <si>
    <t xml:space="preserve">desvio padrão</t>
  </si>
  <si>
    <t xml:space="preserve">CV (%)</t>
  </si>
  <si>
    <t xml:space="preserve">Erro relativo</t>
  </si>
  <si>
    <t xml:space="preserve">Z - score</t>
  </si>
  <si>
    <t xml:space="preserve">t</t>
  </si>
  <si>
    <t xml:space="preserve">t crítico 95%</t>
  </si>
  <si>
    <t xml:space="preserve">Concentração certificada</t>
  </si>
  <si>
    <t xml:space="preserve">desvio</t>
  </si>
  <si>
    <t xml:space="preserve">Sinal analítico</t>
  </si>
  <si>
    <t xml:space="preserve">Concentração medida</t>
  </si>
  <si>
    <t xml:space="preserve">Usa equação de regressão da aba anterior</t>
  </si>
  <si>
    <t xml:space="preserve">regressão</t>
  </si>
  <si>
    <t xml:space="preserve">resíduos</t>
  </si>
  <si>
    <t xml:space="preserve">falta de ajuste</t>
  </si>
  <si>
    <t xml:space="preserve">erro puro</t>
  </si>
  <si>
    <t xml:space="preserve">médio</t>
  </si>
  <si>
    <t xml:space="preserve">previsto</t>
  </si>
  <si>
    <t xml:space="preserve">(ypred-ymed)²</t>
  </si>
  <si>
    <t xml:space="preserve">(yij-ypred)²</t>
  </si>
  <si>
    <t xml:space="preserve">(ypred-yimed)²</t>
  </si>
  <si>
    <t xml:space="preserve">(yij-yimed)²</t>
  </si>
  <si>
    <t xml:space="preserve">Média ou soma</t>
  </si>
  <si>
    <t xml:space="preserve">Fonte de variação </t>
  </si>
  <si>
    <t xml:space="preserve">SQ</t>
  </si>
  <si>
    <t xml:space="preserve">gl</t>
  </si>
  <si>
    <t xml:space="preserve">QM</t>
  </si>
  <si>
    <t xml:space="preserve">F</t>
  </si>
  <si>
    <t xml:space="preserve">F1,16= 4.49</t>
  </si>
  <si>
    <t xml:space="preserve">Regressão</t>
  </si>
  <si>
    <t xml:space="preserve">Resíduos</t>
  </si>
  <si>
    <t xml:space="preserve">Falta de ajuste </t>
  </si>
  <si>
    <t xml:space="preserve">F4,12=3.26</t>
  </si>
  <si>
    <t xml:space="preserve">p</t>
  </si>
  <si>
    <t xml:space="preserve">b0 e b1</t>
  </si>
  <si>
    <t xml:space="preserve">n</t>
  </si>
  <si>
    <t xml:space="preserve">total</t>
  </si>
  <si>
    <t xml:space="preserve">m</t>
  </si>
  <si>
    <t xml:space="preserve">(6 amostras, 6 valores de concentração)</t>
  </si>
  <si>
    <t xml:space="preserve">R²</t>
  </si>
  <si>
    <t xml:space="preserve">R² aj</t>
  </si>
  <si>
    <t xml:space="preserve">residuo</t>
  </si>
  <si>
    <t xml:space="preserve">X</t>
  </si>
  <si>
    <t xml:space="preserve">x²</t>
  </si>
  <si>
    <t xml:space="preserve">(x-xmed)²</t>
  </si>
  <si>
    <t xml:space="preserve">média</t>
  </si>
  <si>
    <t xml:space="preserve">soma</t>
  </si>
  <si>
    <t xml:space="preserve">s</t>
  </si>
  <si>
    <t xml:space="preserve">erro b1</t>
  </si>
  <si>
    <t xml:space="preserve">erro b0</t>
  </si>
  <si>
    <t xml:space="preserve">Intervalo de confiança ya</t>
  </si>
  <si>
    <t xml:space="preserve">t(16)</t>
  </si>
  <si>
    <t xml:space="preserve">xa</t>
  </si>
  <si>
    <t xml:space="preserve">(xa-xmed)²</t>
  </si>
  <si>
    <t xml:space="preserve">erro ya</t>
  </si>
  <si>
    <t xml:space="preserve">ya</t>
  </si>
  <si>
    <t xml:space="preserve">ya inferior</t>
  </si>
  <si>
    <t xml:space="preserve">ya superior</t>
  </si>
  <si>
    <t xml:space="preserve">Xmed</t>
  </si>
  <si>
    <t xml:space="preserve">soma (Xi-Xmed)²</t>
  </si>
  <si>
    <t xml:space="preserve">Xa</t>
  </si>
  <si>
    <t xml:space="preserve">Ymed</t>
  </si>
  <si>
    <t xml:space="preserve">b0</t>
  </si>
  <si>
    <t xml:space="preserve">b1</t>
  </si>
  <si>
    <t xml:space="preserve">LD</t>
  </si>
  <si>
    <t xml:space="preserve">X0 máx</t>
  </si>
  <si>
    <t xml:space="preserve">Y(X0 máx)</t>
  </si>
  <si>
    <t xml:space="preserve">Y máx(X0 máx)</t>
  </si>
  <si>
    <t xml:space="preserve">Xc</t>
  </si>
  <si>
    <t xml:space="preserve">LQ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</si>
</sst>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0000"/>
    <numFmt numFmtId="169" formatCode="0.000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6"/>
      <color rgb="FFFF0000"/>
      <name val="Calibri"/>
      <family val="2"/>
      <charset val="1"/>
    </font>
    <font>
      <b val="true"/>
      <sz val="11"/>
      <color theme="4"/>
      <name val="Calibri"/>
      <family val="2"/>
      <charset val="1"/>
    </font>
    <font>
      <b val="true"/>
      <sz val="24"/>
      <color rgb="FFFF0000"/>
      <name val="Times New Roman"/>
      <family val="1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8B855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B05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>
        <color rgb="FF00B050"/>
      </right>
      <top/>
      <bottom/>
      <diagonal/>
    </border>
    <border diagonalUp="false" diagonalDown="false">
      <left style="thin"/>
      <right/>
      <top/>
      <bottom style="thin">
        <color rgb="FF00B050"/>
      </bottom>
      <diagonal/>
    </border>
    <border diagonalUp="false" diagonalDown="false">
      <left/>
      <right style="thin">
        <color rgb="FF00B050"/>
      </right>
      <top/>
      <bottom style="thin">
        <color rgb="FF00B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2D050"/>
      <rgbColor rgb="FFFFCC00"/>
      <rgbColor rgb="FFFF9900"/>
      <rgbColor rgb="FFFF6600"/>
      <rgbColor rgb="FF595959"/>
      <rgbColor rgb="FF98B85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<Relationship Id="rId2" Type="http://schemas.microsoft.com/office/2011/relationships/chartStyle" Target="style3.xml"/><Relationship Id="rId3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resposta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Regressão!$C$1</c:f>
              <c:strCache>
                <c:ptCount val="1"/>
                <c:pt idx="0">
                  <c:v>resposta</c:v>
                </c:pt>
              </c:strCache>
            </c:strRef>
          </c:tx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chemeClr val="accent1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Regressão!$B$2:$B$19</c:f>
              <c:numCache>
                <c:formatCode>General</c:formatCode>
                <c:ptCount val="18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1100</c:v>
                </c:pt>
                <c:pt idx="7">
                  <c:v>1100</c:v>
                </c:pt>
                <c:pt idx="8">
                  <c:v>1100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1700</c:v>
                </c:pt>
                <c:pt idx="13">
                  <c:v>1700</c:v>
                </c:pt>
                <c:pt idx="14">
                  <c:v>1700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</c:numCache>
            </c:numRef>
          </c:xVal>
          <c:yVal>
            <c:numRef>
              <c:f>Regressão!$C$2:$C$19</c:f>
              <c:numCache>
                <c:formatCode>General</c:formatCode>
                <c:ptCount val="18"/>
                <c:pt idx="0">
                  <c:v>0.764</c:v>
                </c:pt>
                <c:pt idx="1">
                  <c:v>0.716</c:v>
                </c:pt>
                <c:pt idx="2">
                  <c:v>0.82</c:v>
                </c:pt>
                <c:pt idx="3">
                  <c:v>1.606</c:v>
                </c:pt>
                <c:pt idx="4">
                  <c:v>1.684</c:v>
                </c:pt>
                <c:pt idx="5">
                  <c:v>1.538</c:v>
                </c:pt>
                <c:pt idx="6">
                  <c:v>2.932</c:v>
                </c:pt>
                <c:pt idx="7">
                  <c:v>3.34</c:v>
                </c:pt>
                <c:pt idx="8">
                  <c:v>3.2464</c:v>
                </c:pt>
                <c:pt idx="9">
                  <c:v>4.466</c:v>
                </c:pt>
                <c:pt idx="10">
                  <c:v>4.626</c:v>
                </c:pt>
                <c:pt idx="11">
                  <c:v>4.44</c:v>
                </c:pt>
                <c:pt idx="12">
                  <c:v>5.402</c:v>
                </c:pt>
                <c:pt idx="13">
                  <c:v>5.632</c:v>
                </c:pt>
                <c:pt idx="14">
                  <c:v>5.802</c:v>
                </c:pt>
                <c:pt idx="15">
                  <c:v>7.43</c:v>
                </c:pt>
                <c:pt idx="16">
                  <c:v>7.576</c:v>
                </c:pt>
                <c:pt idx="17">
                  <c:v>7.706</c:v>
                </c:pt>
              </c:numCache>
            </c:numRef>
          </c:yVal>
          <c:smooth val="0"/>
        </c:ser>
        <c:axId val="98326946"/>
        <c:axId val="35501383"/>
      </c:scatterChart>
      <c:valAx>
        <c:axId val="98326946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5501383"/>
        <c:crosses val="autoZero"/>
        <c:crossBetween val="midCat"/>
      </c:valAx>
      <c:valAx>
        <c:axId val="35501383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832694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residuo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Residuo!$F$2</c:f>
              <c:strCache>
                <c:ptCount val="1"/>
                <c:pt idx="0">
                  <c:v>residuo</c:v>
                </c:pt>
              </c:strCache>
            </c:strRef>
          </c:tx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Residuo!$D$3:$D$20</c:f>
              <c:numCache>
                <c:formatCode>General</c:formatCode>
                <c:ptCount val="18"/>
                <c:pt idx="0">
                  <c:v>0.766666666666667</c:v>
                </c:pt>
                <c:pt idx="1">
                  <c:v>0.766666666666667</c:v>
                </c:pt>
                <c:pt idx="2">
                  <c:v>0.766666666666667</c:v>
                </c:pt>
                <c:pt idx="3">
                  <c:v>1.60933333333333</c:v>
                </c:pt>
                <c:pt idx="4">
                  <c:v>1.60933333333333</c:v>
                </c:pt>
                <c:pt idx="5">
                  <c:v>1.60933333333333</c:v>
                </c:pt>
                <c:pt idx="6">
                  <c:v>3.1728</c:v>
                </c:pt>
                <c:pt idx="7">
                  <c:v>3.1728</c:v>
                </c:pt>
                <c:pt idx="8">
                  <c:v>3.1728</c:v>
                </c:pt>
                <c:pt idx="9">
                  <c:v>4.51066666666667</c:v>
                </c:pt>
                <c:pt idx="10">
                  <c:v>4.51066666666667</c:v>
                </c:pt>
                <c:pt idx="11">
                  <c:v>4.51066666666667</c:v>
                </c:pt>
                <c:pt idx="12">
                  <c:v>5.612</c:v>
                </c:pt>
                <c:pt idx="13">
                  <c:v>5.612</c:v>
                </c:pt>
                <c:pt idx="14">
                  <c:v>5.612</c:v>
                </c:pt>
                <c:pt idx="15">
                  <c:v>7.57066666666667</c:v>
                </c:pt>
                <c:pt idx="16">
                  <c:v>7.57066666666667</c:v>
                </c:pt>
                <c:pt idx="17">
                  <c:v>7.57066666666667</c:v>
                </c:pt>
              </c:numCache>
            </c:numRef>
          </c:xVal>
          <c:yVal>
            <c:numRef>
              <c:f>Residuo!$F$3:$F$20</c:f>
              <c:numCache>
                <c:formatCode>General</c:formatCode>
                <c:ptCount val="18"/>
                <c:pt idx="0">
                  <c:v>-0.281766666666667</c:v>
                </c:pt>
                <c:pt idx="1">
                  <c:v>-0.281766666666667</c:v>
                </c:pt>
                <c:pt idx="2">
                  <c:v>-0.281766666666667</c:v>
                </c:pt>
                <c:pt idx="3">
                  <c:v>0.225566666666666</c:v>
                </c:pt>
                <c:pt idx="4">
                  <c:v>0.225566666666666</c:v>
                </c:pt>
                <c:pt idx="5">
                  <c:v>0.225566666666666</c:v>
                </c:pt>
                <c:pt idx="6">
                  <c:v>0.0120999999999993</c:v>
                </c:pt>
                <c:pt idx="7">
                  <c:v>0.0120999999999993</c:v>
                </c:pt>
                <c:pt idx="8">
                  <c:v>0.0120999999999993</c:v>
                </c:pt>
                <c:pt idx="9">
                  <c:v>0.024233333333334</c:v>
                </c:pt>
                <c:pt idx="10">
                  <c:v>0.024233333333334</c:v>
                </c:pt>
                <c:pt idx="11">
                  <c:v>0.024233333333334</c:v>
                </c:pt>
                <c:pt idx="12">
                  <c:v>0.272900000000001</c:v>
                </c:pt>
                <c:pt idx="13">
                  <c:v>0.272900000000001</c:v>
                </c:pt>
                <c:pt idx="14">
                  <c:v>0.272900000000001</c:v>
                </c:pt>
                <c:pt idx="15">
                  <c:v>-0.335766666666667</c:v>
                </c:pt>
                <c:pt idx="16">
                  <c:v>-0.335766666666667</c:v>
                </c:pt>
                <c:pt idx="17">
                  <c:v>-0.335766666666667</c:v>
                </c:pt>
              </c:numCache>
            </c:numRef>
          </c:yVal>
          <c:smooth val="0"/>
        </c:ser>
        <c:axId val="14282582"/>
        <c:axId val="49357787"/>
      </c:scatterChart>
      <c:valAx>
        <c:axId val="14282582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9357787"/>
        <c:crosses val="autoZero"/>
        <c:crossBetween val="midCat"/>
      </c:valAx>
      <c:valAx>
        <c:axId val="4935778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42825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"Ya"</c:f>
              <c:strCache>
                <c:ptCount val="1"/>
                <c:pt idx="0">
                  <c:v>Ya</c:v>
                </c:pt>
              </c:strCache>
            </c:strRef>
          </c:tx>
          <c:spPr>
            <a:solidFill>
              <a:srgbClr val="000000"/>
            </a:solidFill>
            <a:ln w="64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64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'intervalo de confianç'!$A$30:$A$370</c:f>
              <c:numCache>
                <c:formatCode>General</c:formatCode>
                <c:ptCount val="34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  <c:pt idx="101">
                  <c:v>905</c:v>
                </c:pt>
                <c:pt idx="102">
                  <c:v>910</c:v>
                </c:pt>
                <c:pt idx="103">
                  <c:v>915</c:v>
                </c:pt>
                <c:pt idx="104">
                  <c:v>920</c:v>
                </c:pt>
                <c:pt idx="105">
                  <c:v>925</c:v>
                </c:pt>
                <c:pt idx="106">
                  <c:v>930</c:v>
                </c:pt>
                <c:pt idx="107">
                  <c:v>935</c:v>
                </c:pt>
                <c:pt idx="108">
                  <c:v>940</c:v>
                </c:pt>
                <c:pt idx="109">
                  <c:v>945</c:v>
                </c:pt>
                <c:pt idx="110">
                  <c:v>950</c:v>
                </c:pt>
                <c:pt idx="111">
                  <c:v>955</c:v>
                </c:pt>
                <c:pt idx="112">
                  <c:v>960</c:v>
                </c:pt>
                <c:pt idx="113">
                  <c:v>965</c:v>
                </c:pt>
                <c:pt idx="114">
                  <c:v>970</c:v>
                </c:pt>
                <c:pt idx="115">
                  <c:v>975</c:v>
                </c:pt>
                <c:pt idx="116">
                  <c:v>980</c:v>
                </c:pt>
                <c:pt idx="117">
                  <c:v>985</c:v>
                </c:pt>
                <c:pt idx="118">
                  <c:v>990</c:v>
                </c:pt>
                <c:pt idx="119">
                  <c:v>995</c:v>
                </c:pt>
                <c:pt idx="120">
                  <c:v>1000</c:v>
                </c:pt>
                <c:pt idx="121">
                  <c:v>1005</c:v>
                </c:pt>
                <c:pt idx="122">
                  <c:v>1010</c:v>
                </c:pt>
                <c:pt idx="123">
                  <c:v>1015</c:v>
                </c:pt>
                <c:pt idx="124">
                  <c:v>1020</c:v>
                </c:pt>
                <c:pt idx="125">
                  <c:v>1025</c:v>
                </c:pt>
                <c:pt idx="126">
                  <c:v>1030</c:v>
                </c:pt>
                <c:pt idx="127">
                  <c:v>1035</c:v>
                </c:pt>
                <c:pt idx="128">
                  <c:v>1040</c:v>
                </c:pt>
                <c:pt idx="129">
                  <c:v>1045</c:v>
                </c:pt>
                <c:pt idx="130">
                  <c:v>1050</c:v>
                </c:pt>
                <c:pt idx="131">
                  <c:v>1055</c:v>
                </c:pt>
                <c:pt idx="132">
                  <c:v>1060</c:v>
                </c:pt>
                <c:pt idx="133">
                  <c:v>1065</c:v>
                </c:pt>
                <c:pt idx="134">
                  <c:v>1070</c:v>
                </c:pt>
                <c:pt idx="135">
                  <c:v>1075</c:v>
                </c:pt>
                <c:pt idx="136">
                  <c:v>1080</c:v>
                </c:pt>
                <c:pt idx="137">
                  <c:v>1085</c:v>
                </c:pt>
                <c:pt idx="138">
                  <c:v>1090</c:v>
                </c:pt>
                <c:pt idx="139">
                  <c:v>1095</c:v>
                </c:pt>
                <c:pt idx="140">
                  <c:v>1100</c:v>
                </c:pt>
                <c:pt idx="141">
                  <c:v>1105</c:v>
                </c:pt>
                <c:pt idx="142">
                  <c:v>1110</c:v>
                </c:pt>
                <c:pt idx="143">
                  <c:v>1115</c:v>
                </c:pt>
                <c:pt idx="144">
                  <c:v>1120</c:v>
                </c:pt>
                <c:pt idx="145">
                  <c:v>1125</c:v>
                </c:pt>
                <c:pt idx="146">
                  <c:v>1130</c:v>
                </c:pt>
                <c:pt idx="147">
                  <c:v>1135</c:v>
                </c:pt>
                <c:pt idx="148">
                  <c:v>1140</c:v>
                </c:pt>
                <c:pt idx="149">
                  <c:v>1145</c:v>
                </c:pt>
                <c:pt idx="150">
                  <c:v>1150</c:v>
                </c:pt>
                <c:pt idx="151">
                  <c:v>1155</c:v>
                </c:pt>
                <c:pt idx="152">
                  <c:v>1160</c:v>
                </c:pt>
                <c:pt idx="153">
                  <c:v>1165</c:v>
                </c:pt>
                <c:pt idx="154">
                  <c:v>1170</c:v>
                </c:pt>
                <c:pt idx="155">
                  <c:v>1175</c:v>
                </c:pt>
                <c:pt idx="156">
                  <c:v>1180</c:v>
                </c:pt>
                <c:pt idx="157">
                  <c:v>1185</c:v>
                </c:pt>
                <c:pt idx="158">
                  <c:v>1190</c:v>
                </c:pt>
                <c:pt idx="159">
                  <c:v>1195</c:v>
                </c:pt>
                <c:pt idx="160">
                  <c:v>1200</c:v>
                </c:pt>
                <c:pt idx="161">
                  <c:v>1205</c:v>
                </c:pt>
                <c:pt idx="162">
                  <c:v>1210</c:v>
                </c:pt>
                <c:pt idx="163">
                  <c:v>1215</c:v>
                </c:pt>
                <c:pt idx="164">
                  <c:v>1220</c:v>
                </c:pt>
                <c:pt idx="165">
                  <c:v>1225</c:v>
                </c:pt>
                <c:pt idx="166">
                  <c:v>1230</c:v>
                </c:pt>
                <c:pt idx="167">
                  <c:v>1235</c:v>
                </c:pt>
                <c:pt idx="168">
                  <c:v>1240</c:v>
                </c:pt>
                <c:pt idx="169">
                  <c:v>1245</c:v>
                </c:pt>
                <c:pt idx="170">
                  <c:v>1250</c:v>
                </c:pt>
                <c:pt idx="171">
                  <c:v>1255</c:v>
                </c:pt>
                <c:pt idx="172">
                  <c:v>1260</c:v>
                </c:pt>
                <c:pt idx="173">
                  <c:v>1265</c:v>
                </c:pt>
                <c:pt idx="174">
                  <c:v>1270</c:v>
                </c:pt>
                <c:pt idx="175">
                  <c:v>1275</c:v>
                </c:pt>
                <c:pt idx="176">
                  <c:v>1280</c:v>
                </c:pt>
                <c:pt idx="177">
                  <c:v>1285</c:v>
                </c:pt>
                <c:pt idx="178">
                  <c:v>1290</c:v>
                </c:pt>
                <c:pt idx="179">
                  <c:v>1295</c:v>
                </c:pt>
                <c:pt idx="180">
                  <c:v>1300</c:v>
                </c:pt>
                <c:pt idx="181">
                  <c:v>1305</c:v>
                </c:pt>
                <c:pt idx="182">
                  <c:v>1310</c:v>
                </c:pt>
                <c:pt idx="183">
                  <c:v>1315</c:v>
                </c:pt>
                <c:pt idx="184">
                  <c:v>1320</c:v>
                </c:pt>
                <c:pt idx="185">
                  <c:v>1325</c:v>
                </c:pt>
                <c:pt idx="186">
                  <c:v>1330</c:v>
                </c:pt>
                <c:pt idx="187">
                  <c:v>1335</c:v>
                </c:pt>
                <c:pt idx="188">
                  <c:v>1340</c:v>
                </c:pt>
                <c:pt idx="189">
                  <c:v>1345</c:v>
                </c:pt>
                <c:pt idx="190">
                  <c:v>1350</c:v>
                </c:pt>
                <c:pt idx="191">
                  <c:v>1355</c:v>
                </c:pt>
                <c:pt idx="192">
                  <c:v>1360</c:v>
                </c:pt>
                <c:pt idx="193">
                  <c:v>1365</c:v>
                </c:pt>
                <c:pt idx="194">
                  <c:v>1370</c:v>
                </c:pt>
                <c:pt idx="195">
                  <c:v>1375</c:v>
                </c:pt>
                <c:pt idx="196">
                  <c:v>1380</c:v>
                </c:pt>
                <c:pt idx="197">
                  <c:v>1385</c:v>
                </c:pt>
                <c:pt idx="198">
                  <c:v>1390</c:v>
                </c:pt>
                <c:pt idx="199">
                  <c:v>1395</c:v>
                </c:pt>
                <c:pt idx="200">
                  <c:v>1400</c:v>
                </c:pt>
                <c:pt idx="201">
                  <c:v>1405</c:v>
                </c:pt>
                <c:pt idx="202">
                  <c:v>1410</c:v>
                </c:pt>
                <c:pt idx="203">
                  <c:v>1415</c:v>
                </c:pt>
                <c:pt idx="204">
                  <c:v>1420</c:v>
                </c:pt>
                <c:pt idx="205">
                  <c:v>1425</c:v>
                </c:pt>
                <c:pt idx="206">
                  <c:v>1430</c:v>
                </c:pt>
                <c:pt idx="207">
                  <c:v>1435</c:v>
                </c:pt>
                <c:pt idx="208">
                  <c:v>1440</c:v>
                </c:pt>
                <c:pt idx="209">
                  <c:v>1445</c:v>
                </c:pt>
                <c:pt idx="210">
                  <c:v>1450</c:v>
                </c:pt>
                <c:pt idx="211">
                  <c:v>1455</c:v>
                </c:pt>
                <c:pt idx="212">
                  <c:v>1460</c:v>
                </c:pt>
                <c:pt idx="213">
                  <c:v>1465</c:v>
                </c:pt>
                <c:pt idx="214">
                  <c:v>1470</c:v>
                </c:pt>
                <c:pt idx="215">
                  <c:v>1475</c:v>
                </c:pt>
                <c:pt idx="216">
                  <c:v>1480</c:v>
                </c:pt>
                <c:pt idx="217">
                  <c:v>1485</c:v>
                </c:pt>
                <c:pt idx="218">
                  <c:v>1490</c:v>
                </c:pt>
                <c:pt idx="219">
                  <c:v>1495</c:v>
                </c:pt>
                <c:pt idx="220">
                  <c:v>1500</c:v>
                </c:pt>
                <c:pt idx="221">
                  <c:v>1505</c:v>
                </c:pt>
                <c:pt idx="222">
                  <c:v>1510</c:v>
                </c:pt>
                <c:pt idx="223">
                  <c:v>1515</c:v>
                </c:pt>
                <c:pt idx="224">
                  <c:v>1520</c:v>
                </c:pt>
                <c:pt idx="225">
                  <c:v>1525</c:v>
                </c:pt>
                <c:pt idx="226">
                  <c:v>1530</c:v>
                </c:pt>
                <c:pt idx="227">
                  <c:v>1535</c:v>
                </c:pt>
                <c:pt idx="228">
                  <c:v>1540</c:v>
                </c:pt>
                <c:pt idx="229">
                  <c:v>1545</c:v>
                </c:pt>
                <c:pt idx="230">
                  <c:v>1550</c:v>
                </c:pt>
                <c:pt idx="231">
                  <c:v>1555</c:v>
                </c:pt>
                <c:pt idx="232">
                  <c:v>1560</c:v>
                </c:pt>
                <c:pt idx="233">
                  <c:v>1565</c:v>
                </c:pt>
                <c:pt idx="234">
                  <c:v>1570</c:v>
                </c:pt>
                <c:pt idx="235">
                  <c:v>1575</c:v>
                </c:pt>
                <c:pt idx="236">
                  <c:v>1580</c:v>
                </c:pt>
                <c:pt idx="237">
                  <c:v>1585</c:v>
                </c:pt>
                <c:pt idx="238">
                  <c:v>1590</c:v>
                </c:pt>
                <c:pt idx="239">
                  <c:v>1595</c:v>
                </c:pt>
                <c:pt idx="240">
                  <c:v>1600</c:v>
                </c:pt>
                <c:pt idx="241">
                  <c:v>1605</c:v>
                </c:pt>
                <c:pt idx="242">
                  <c:v>1610</c:v>
                </c:pt>
                <c:pt idx="243">
                  <c:v>1615</c:v>
                </c:pt>
                <c:pt idx="244">
                  <c:v>1620</c:v>
                </c:pt>
                <c:pt idx="245">
                  <c:v>1625</c:v>
                </c:pt>
                <c:pt idx="246">
                  <c:v>1630</c:v>
                </c:pt>
                <c:pt idx="247">
                  <c:v>1635</c:v>
                </c:pt>
                <c:pt idx="248">
                  <c:v>1640</c:v>
                </c:pt>
                <c:pt idx="249">
                  <c:v>1645</c:v>
                </c:pt>
                <c:pt idx="250">
                  <c:v>1650</c:v>
                </c:pt>
                <c:pt idx="251">
                  <c:v>1655</c:v>
                </c:pt>
                <c:pt idx="252">
                  <c:v>1660</c:v>
                </c:pt>
                <c:pt idx="253">
                  <c:v>1665</c:v>
                </c:pt>
                <c:pt idx="254">
                  <c:v>1670</c:v>
                </c:pt>
                <c:pt idx="255">
                  <c:v>1675</c:v>
                </c:pt>
                <c:pt idx="256">
                  <c:v>1680</c:v>
                </c:pt>
                <c:pt idx="257">
                  <c:v>1685</c:v>
                </c:pt>
                <c:pt idx="258">
                  <c:v>1690</c:v>
                </c:pt>
                <c:pt idx="259">
                  <c:v>1695</c:v>
                </c:pt>
                <c:pt idx="260">
                  <c:v>1700</c:v>
                </c:pt>
                <c:pt idx="261">
                  <c:v>1705</c:v>
                </c:pt>
                <c:pt idx="262">
                  <c:v>1710</c:v>
                </c:pt>
                <c:pt idx="263">
                  <c:v>1715</c:v>
                </c:pt>
                <c:pt idx="264">
                  <c:v>1720</c:v>
                </c:pt>
                <c:pt idx="265">
                  <c:v>1725</c:v>
                </c:pt>
                <c:pt idx="266">
                  <c:v>1730</c:v>
                </c:pt>
                <c:pt idx="267">
                  <c:v>1735</c:v>
                </c:pt>
                <c:pt idx="268">
                  <c:v>1740</c:v>
                </c:pt>
                <c:pt idx="269">
                  <c:v>1745</c:v>
                </c:pt>
                <c:pt idx="270">
                  <c:v>1750</c:v>
                </c:pt>
                <c:pt idx="271">
                  <c:v>1755</c:v>
                </c:pt>
                <c:pt idx="272">
                  <c:v>1760</c:v>
                </c:pt>
                <c:pt idx="273">
                  <c:v>1765</c:v>
                </c:pt>
                <c:pt idx="274">
                  <c:v>1770</c:v>
                </c:pt>
                <c:pt idx="275">
                  <c:v>1775</c:v>
                </c:pt>
                <c:pt idx="276">
                  <c:v>1780</c:v>
                </c:pt>
                <c:pt idx="277">
                  <c:v>1785</c:v>
                </c:pt>
                <c:pt idx="278">
                  <c:v>1790</c:v>
                </c:pt>
                <c:pt idx="279">
                  <c:v>1795</c:v>
                </c:pt>
                <c:pt idx="280">
                  <c:v>1800</c:v>
                </c:pt>
                <c:pt idx="281">
                  <c:v>1805</c:v>
                </c:pt>
                <c:pt idx="282">
                  <c:v>1810</c:v>
                </c:pt>
                <c:pt idx="283">
                  <c:v>1815</c:v>
                </c:pt>
                <c:pt idx="284">
                  <c:v>1820</c:v>
                </c:pt>
                <c:pt idx="285">
                  <c:v>1825</c:v>
                </c:pt>
                <c:pt idx="286">
                  <c:v>1830</c:v>
                </c:pt>
                <c:pt idx="287">
                  <c:v>1835</c:v>
                </c:pt>
                <c:pt idx="288">
                  <c:v>1840</c:v>
                </c:pt>
                <c:pt idx="289">
                  <c:v>1845</c:v>
                </c:pt>
                <c:pt idx="290">
                  <c:v>1850</c:v>
                </c:pt>
                <c:pt idx="291">
                  <c:v>1855</c:v>
                </c:pt>
                <c:pt idx="292">
                  <c:v>1860</c:v>
                </c:pt>
                <c:pt idx="293">
                  <c:v>1865</c:v>
                </c:pt>
                <c:pt idx="294">
                  <c:v>1870</c:v>
                </c:pt>
                <c:pt idx="295">
                  <c:v>1875</c:v>
                </c:pt>
                <c:pt idx="296">
                  <c:v>1880</c:v>
                </c:pt>
                <c:pt idx="297">
                  <c:v>1885</c:v>
                </c:pt>
                <c:pt idx="298">
                  <c:v>1890</c:v>
                </c:pt>
                <c:pt idx="299">
                  <c:v>1895</c:v>
                </c:pt>
                <c:pt idx="300">
                  <c:v>1900</c:v>
                </c:pt>
                <c:pt idx="301">
                  <c:v>1905</c:v>
                </c:pt>
                <c:pt idx="302">
                  <c:v>1910</c:v>
                </c:pt>
                <c:pt idx="303">
                  <c:v>1915</c:v>
                </c:pt>
                <c:pt idx="304">
                  <c:v>1920</c:v>
                </c:pt>
                <c:pt idx="305">
                  <c:v>1925</c:v>
                </c:pt>
                <c:pt idx="306">
                  <c:v>1930</c:v>
                </c:pt>
                <c:pt idx="307">
                  <c:v>1935</c:v>
                </c:pt>
                <c:pt idx="308">
                  <c:v>1940</c:v>
                </c:pt>
                <c:pt idx="309">
                  <c:v>1945</c:v>
                </c:pt>
                <c:pt idx="310">
                  <c:v>1950</c:v>
                </c:pt>
                <c:pt idx="311">
                  <c:v>1955</c:v>
                </c:pt>
                <c:pt idx="312">
                  <c:v>1960</c:v>
                </c:pt>
                <c:pt idx="313">
                  <c:v>1965</c:v>
                </c:pt>
                <c:pt idx="314">
                  <c:v>1970</c:v>
                </c:pt>
                <c:pt idx="315">
                  <c:v>1975</c:v>
                </c:pt>
                <c:pt idx="316">
                  <c:v>1980</c:v>
                </c:pt>
                <c:pt idx="317">
                  <c:v>1985</c:v>
                </c:pt>
                <c:pt idx="318">
                  <c:v>1990</c:v>
                </c:pt>
                <c:pt idx="319">
                  <c:v>1995</c:v>
                </c:pt>
                <c:pt idx="320">
                  <c:v>2000</c:v>
                </c:pt>
                <c:pt idx="321">
                  <c:v>2005</c:v>
                </c:pt>
                <c:pt idx="322">
                  <c:v>2010</c:v>
                </c:pt>
                <c:pt idx="323">
                  <c:v>2015</c:v>
                </c:pt>
                <c:pt idx="324">
                  <c:v>2020</c:v>
                </c:pt>
                <c:pt idx="325">
                  <c:v>2025</c:v>
                </c:pt>
                <c:pt idx="326">
                  <c:v>2030</c:v>
                </c:pt>
                <c:pt idx="327">
                  <c:v>2035</c:v>
                </c:pt>
                <c:pt idx="328">
                  <c:v>2040</c:v>
                </c:pt>
                <c:pt idx="329">
                  <c:v>2045</c:v>
                </c:pt>
                <c:pt idx="330">
                  <c:v>2050</c:v>
                </c:pt>
                <c:pt idx="331">
                  <c:v>2055</c:v>
                </c:pt>
                <c:pt idx="332">
                  <c:v>2060</c:v>
                </c:pt>
                <c:pt idx="333">
                  <c:v>2065</c:v>
                </c:pt>
                <c:pt idx="334">
                  <c:v>2070</c:v>
                </c:pt>
                <c:pt idx="335">
                  <c:v>2075</c:v>
                </c:pt>
                <c:pt idx="336">
                  <c:v>2080</c:v>
                </c:pt>
                <c:pt idx="337">
                  <c:v>2085</c:v>
                </c:pt>
                <c:pt idx="338">
                  <c:v>2090</c:v>
                </c:pt>
                <c:pt idx="339">
                  <c:v>2095</c:v>
                </c:pt>
                <c:pt idx="340">
                  <c:v>2100</c:v>
                </c:pt>
              </c:numCache>
            </c:numRef>
          </c:xVal>
          <c:yVal>
            <c:numRef>
              <c:f>'intervalo de confianç'!$D$30:$D$370</c:f>
              <c:numCache>
                <c:formatCode>General</c:formatCode>
                <c:ptCount val="341"/>
                <c:pt idx="0">
                  <c:v>0.0389000000000002</c:v>
                </c:pt>
                <c:pt idx="1">
                  <c:v>0.0614500000000002</c:v>
                </c:pt>
                <c:pt idx="2">
                  <c:v>0.0840000000000001</c:v>
                </c:pt>
                <c:pt idx="3">
                  <c:v>0.10655</c:v>
                </c:pt>
                <c:pt idx="4">
                  <c:v>0.1291</c:v>
                </c:pt>
                <c:pt idx="5">
                  <c:v>0.15165</c:v>
                </c:pt>
                <c:pt idx="6">
                  <c:v>0.1742</c:v>
                </c:pt>
                <c:pt idx="7">
                  <c:v>0.19675</c:v>
                </c:pt>
                <c:pt idx="8">
                  <c:v>0.2193</c:v>
                </c:pt>
                <c:pt idx="9">
                  <c:v>0.24185</c:v>
                </c:pt>
                <c:pt idx="10">
                  <c:v>0.2644</c:v>
                </c:pt>
                <c:pt idx="11">
                  <c:v>0.28695</c:v>
                </c:pt>
                <c:pt idx="12">
                  <c:v>0.3095</c:v>
                </c:pt>
                <c:pt idx="13">
                  <c:v>0.33205</c:v>
                </c:pt>
                <c:pt idx="14">
                  <c:v>0.3546</c:v>
                </c:pt>
                <c:pt idx="15">
                  <c:v>0.37715</c:v>
                </c:pt>
                <c:pt idx="16">
                  <c:v>0.3997</c:v>
                </c:pt>
                <c:pt idx="17">
                  <c:v>0.42225</c:v>
                </c:pt>
                <c:pt idx="18">
                  <c:v>0.4448</c:v>
                </c:pt>
                <c:pt idx="19">
                  <c:v>0.46735</c:v>
                </c:pt>
                <c:pt idx="20">
                  <c:v>0.4899</c:v>
                </c:pt>
                <c:pt idx="21">
                  <c:v>0.51245</c:v>
                </c:pt>
                <c:pt idx="22">
                  <c:v>0.535</c:v>
                </c:pt>
                <c:pt idx="23">
                  <c:v>0.55755</c:v>
                </c:pt>
                <c:pt idx="24">
                  <c:v>0.5801</c:v>
                </c:pt>
                <c:pt idx="25">
                  <c:v>0.60265</c:v>
                </c:pt>
                <c:pt idx="26">
                  <c:v>0.6252</c:v>
                </c:pt>
                <c:pt idx="27">
                  <c:v>0.64775</c:v>
                </c:pt>
                <c:pt idx="28">
                  <c:v>0.6703</c:v>
                </c:pt>
                <c:pt idx="29">
                  <c:v>0.69285</c:v>
                </c:pt>
                <c:pt idx="30">
                  <c:v>0.7154</c:v>
                </c:pt>
                <c:pt idx="31">
                  <c:v>0.73795</c:v>
                </c:pt>
                <c:pt idx="32">
                  <c:v>0.7605</c:v>
                </c:pt>
                <c:pt idx="33">
                  <c:v>0.78305</c:v>
                </c:pt>
                <c:pt idx="34">
                  <c:v>0.8056</c:v>
                </c:pt>
                <c:pt idx="35">
                  <c:v>0.82815</c:v>
                </c:pt>
                <c:pt idx="36">
                  <c:v>0.8507</c:v>
                </c:pt>
                <c:pt idx="37">
                  <c:v>0.87325</c:v>
                </c:pt>
                <c:pt idx="38">
                  <c:v>0.8958</c:v>
                </c:pt>
                <c:pt idx="39">
                  <c:v>0.91835</c:v>
                </c:pt>
                <c:pt idx="40">
                  <c:v>0.9409</c:v>
                </c:pt>
                <c:pt idx="41">
                  <c:v>0.96345</c:v>
                </c:pt>
                <c:pt idx="42">
                  <c:v>0.986</c:v>
                </c:pt>
                <c:pt idx="43">
                  <c:v>1.00855</c:v>
                </c:pt>
                <c:pt idx="44">
                  <c:v>1.0311</c:v>
                </c:pt>
                <c:pt idx="45">
                  <c:v>1.05365</c:v>
                </c:pt>
                <c:pt idx="46">
                  <c:v>1.0762</c:v>
                </c:pt>
                <c:pt idx="47">
                  <c:v>1.09875</c:v>
                </c:pt>
                <c:pt idx="48">
                  <c:v>1.1213</c:v>
                </c:pt>
                <c:pt idx="49">
                  <c:v>1.14385</c:v>
                </c:pt>
                <c:pt idx="50">
                  <c:v>1.1664</c:v>
                </c:pt>
                <c:pt idx="51">
                  <c:v>1.18895</c:v>
                </c:pt>
                <c:pt idx="52">
                  <c:v>1.2115</c:v>
                </c:pt>
                <c:pt idx="53">
                  <c:v>1.23405</c:v>
                </c:pt>
                <c:pt idx="54">
                  <c:v>1.2566</c:v>
                </c:pt>
                <c:pt idx="55">
                  <c:v>1.27915</c:v>
                </c:pt>
                <c:pt idx="56">
                  <c:v>1.3017</c:v>
                </c:pt>
                <c:pt idx="57">
                  <c:v>1.32425</c:v>
                </c:pt>
                <c:pt idx="58">
                  <c:v>1.3468</c:v>
                </c:pt>
                <c:pt idx="59">
                  <c:v>1.36935</c:v>
                </c:pt>
                <c:pt idx="60">
                  <c:v>1.3919</c:v>
                </c:pt>
                <c:pt idx="61">
                  <c:v>1.41445</c:v>
                </c:pt>
                <c:pt idx="62">
                  <c:v>1.437</c:v>
                </c:pt>
                <c:pt idx="63">
                  <c:v>1.45955</c:v>
                </c:pt>
                <c:pt idx="64">
                  <c:v>1.4821</c:v>
                </c:pt>
                <c:pt idx="65">
                  <c:v>1.50465</c:v>
                </c:pt>
                <c:pt idx="66">
                  <c:v>1.5272</c:v>
                </c:pt>
                <c:pt idx="67">
                  <c:v>1.54975</c:v>
                </c:pt>
                <c:pt idx="68">
                  <c:v>1.5723</c:v>
                </c:pt>
                <c:pt idx="69">
                  <c:v>1.59485</c:v>
                </c:pt>
                <c:pt idx="70">
                  <c:v>1.6174</c:v>
                </c:pt>
                <c:pt idx="71">
                  <c:v>1.63995</c:v>
                </c:pt>
                <c:pt idx="72">
                  <c:v>1.6625</c:v>
                </c:pt>
                <c:pt idx="73">
                  <c:v>1.68505</c:v>
                </c:pt>
                <c:pt idx="74">
                  <c:v>1.7076</c:v>
                </c:pt>
                <c:pt idx="75">
                  <c:v>1.73015</c:v>
                </c:pt>
                <c:pt idx="76">
                  <c:v>1.7527</c:v>
                </c:pt>
                <c:pt idx="77">
                  <c:v>1.77525</c:v>
                </c:pt>
                <c:pt idx="78">
                  <c:v>1.7978</c:v>
                </c:pt>
                <c:pt idx="79">
                  <c:v>1.82035</c:v>
                </c:pt>
                <c:pt idx="80">
                  <c:v>1.8429</c:v>
                </c:pt>
                <c:pt idx="81">
                  <c:v>1.86545</c:v>
                </c:pt>
                <c:pt idx="82">
                  <c:v>1.888</c:v>
                </c:pt>
                <c:pt idx="83">
                  <c:v>1.91055</c:v>
                </c:pt>
                <c:pt idx="84">
                  <c:v>1.9331</c:v>
                </c:pt>
                <c:pt idx="85">
                  <c:v>1.95565</c:v>
                </c:pt>
                <c:pt idx="86">
                  <c:v>1.9782</c:v>
                </c:pt>
                <c:pt idx="87">
                  <c:v>2.00075</c:v>
                </c:pt>
                <c:pt idx="88">
                  <c:v>2.0233</c:v>
                </c:pt>
                <c:pt idx="89">
                  <c:v>2.04585</c:v>
                </c:pt>
                <c:pt idx="90">
                  <c:v>2.0684</c:v>
                </c:pt>
                <c:pt idx="91">
                  <c:v>2.09095</c:v>
                </c:pt>
                <c:pt idx="92">
                  <c:v>2.1135</c:v>
                </c:pt>
                <c:pt idx="93">
                  <c:v>2.13605</c:v>
                </c:pt>
                <c:pt idx="94">
                  <c:v>2.1586</c:v>
                </c:pt>
                <c:pt idx="95">
                  <c:v>2.18115</c:v>
                </c:pt>
                <c:pt idx="96">
                  <c:v>2.2037</c:v>
                </c:pt>
                <c:pt idx="97">
                  <c:v>2.22625</c:v>
                </c:pt>
                <c:pt idx="98">
                  <c:v>2.2488</c:v>
                </c:pt>
                <c:pt idx="99">
                  <c:v>2.27135</c:v>
                </c:pt>
                <c:pt idx="100">
                  <c:v>2.2939</c:v>
                </c:pt>
                <c:pt idx="101">
                  <c:v>2.31645</c:v>
                </c:pt>
                <c:pt idx="102">
                  <c:v>2.339</c:v>
                </c:pt>
                <c:pt idx="103">
                  <c:v>2.36155</c:v>
                </c:pt>
                <c:pt idx="104">
                  <c:v>2.3841</c:v>
                </c:pt>
                <c:pt idx="105">
                  <c:v>2.40665</c:v>
                </c:pt>
                <c:pt idx="106">
                  <c:v>2.4292</c:v>
                </c:pt>
                <c:pt idx="107">
                  <c:v>2.45175</c:v>
                </c:pt>
                <c:pt idx="108">
                  <c:v>2.4743</c:v>
                </c:pt>
                <c:pt idx="109">
                  <c:v>2.49685</c:v>
                </c:pt>
                <c:pt idx="110">
                  <c:v>2.5194</c:v>
                </c:pt>
                <c:pt idx="111">
                  <c:v>2.54195</c:v>
                </c:pt>
                <c:pt idx="112">
                  <c:v>2.5645</c:v>
                </c:pt>
                <c:pt idx="113">
                  <c:v>2.58705</c:v>
                </c:pt>
                <c:pt idx="114">
                  <c:v>2.6096</c:v>
                </c:pt>
                <c:pt idx="115">
                  <c:v>2.63215</c:v>
                </c:pt>
                <c:pt idx="116">
                  <c:v>2.6547</c:v>
                </c:pt>
                <c:pt idx="117">
                  <c:v>2.67725</c:v>
                </c:pt>
                <c:pt idx="118">
                  <c:v>2.6998</c:v>
                </c:pt>
                <c:pt idx="119">
                  <c:v>2.72235</c:v>
                </c:pt>
                <c:pt idx="120">
                  <c:v>2.7449</c:v>
                </c:pt>
                <c:pt idx="121">
                  <c:v>2.76745</c:v>
                </c:pt>
                <c:pt idx="122">
                  <c:v>2.79</c:v>
                </c:pt>
                <c:pt idx="123">
                  <c:v>2.81255</c:v>
                </c:pt>
                <c:pt idx="124">
                  <c:v>2.8351</c:v>
                </c:pt>
                <c:pt idx="125">
                  <c:v>2.85765</c:v>
                </c:pt>
                <c:pt idx="126">
                  <c:v>2.8802</c:v>
                </c:pt>
                <c:pt idx="127">
                  <c:v>2.90275</c:v>
                </c:pt>
                <c:pt idx="128">
                  <c:v>2.9253</c:v>
                </c:pt>
                <c:pt idx="129">
                  <c:v>2.94785</c:v>
                </c:pt>
                <c:pt idx="130">
                  <c:v>2.9704</c:v>
                </c:pt>
                <c:pt idx="131">
                  <c:v>2.99295</c:v>
                </c:pt>
                <c:pt idx="132">
                  <c:v>3.0155</c:v>
                </c:pt>
                <c:pt idx="133">
                  <c:v>3.03805</c:v>
                </c:pt>
                <c:pt idx="134">
                  <c:v>3.0606</c:v>
                </c:pt>
                <c:pt idx="135">
                  <c:v>3.08315</c:v>
                </c:pt>
                <c:pt idx="136">
                  <c:v>3.1057</c:v>
                </c:pt>
                <c:pt idx="137">
                  <c:v>3.12825</c:v>
                </c:pt>
                <c:pt idx="138">
                  <c:v>3.1508</c:v>
                </c:pt>
                <c:pt idx="139">
                  <c:v>3.17335</c:v>
                </c:pt>
                <c:pt idx="140">
                  <c:v>3.1959</c:v>
                </c:pt>
                <c:pt idx="141">
                  <c:v>3.21845</c:v>
                </c:pt>
                <c:pt idx="142">
                  <c:v>3.241</c:v>
                </c:pt>
                <c:pt idx="143">
                  <c:v>3.26355</c:v>
                </c:pt>
                <c:pt idx="144">
                  <c:v>3.2861</c:v>
                </c:pt>
                <c:pt idx="145">
                  <c:v>3.30865</c:v>
                </c:pt>
                <c:pt idx="146">
                  <c:v>3.3312</c:v>
                </c:pt>
                <c:pt idx="147">
                  <c:v>3.35375</c:v>
                </c:pt>
                <c:pt idx="148">
                  <c:v>3.3763</c:v>
                </c:pt>
                <c:pt idx="149">
                  <c:v>3.39885</c:v>
                </c:pt>
                <c:pt idx="150">
                  <c:v>3.4214</c:v>
                </c:pt>
                <c:pt idx="151">
                  <c:v>3.44395</c:v>
                </c:pt>
                <c:pt idx="152">
                  <c:v>3.4665</c:v>
                </c:pt>
                <c:pt idx="153">
                  <c:v>3.48905</c:v>
                </c:pt>
                <c:pt idx="154">
                  <c:v>3.5116</c:v>
                </c:pt>
                <c:pt idx="155">
                  <c:v>3.53415</c:v>
                </c:pt>
                <c:pt idx="156">
                  <c:v>3.5567</c:v>
                </c:pt>
                <c:pt idx="157">
                  <c:v>3.57925</c:v>
                </c:pt>
                <c:pt idx="158">
                  <c:v>3.6018</c:v>
                </c:pt>
                <c:pt idx="159">
                  <c:v>3.62435</c:v>
                </c:pt>
                <c:pt idx="160">
                  <c:v>3.6469</c:v>
                </c:pt>
                <c:pt idx="161">
                  <c:v>3.66945</c:v>
                </c:pt>
                <c:pt idx="162">
                  <c:v>3.692</c:v>
                </c:pt>
                <c:pt idx="163">
                  <c:v>3.71455</c:v>
                </c:pt>
                <c:pt idx="164">
                  <c:v>3.7371</c:v>
                </c:pt>
                <c:pt idx="165">
                  <c:v>3.75965</c:v>
                </c:pt>
                <c:pt idx="166">
                  <c:v>3.7822</c:v>
                </c:pt>
                <c:pt idx="167">
                  <c:v>3.80475</c:v>
                </c:pt>
                <c:pt idx="168">
                  <c:v>3.8273</c:v>
                </c:pt>
                <c:pt idx="169">
                  <c:v>3.84985</c:v>
                </c:pt>
                <c:pt idx="170">
                  <c:v>3.8724</c:v>
                </c:pt>
                <c:pt idx="171">
                  <c:v>3.89495</c:v>
                </c:pt>
                <c:pt idx="172">
                  <c:v>3.9175</c:v>
                </c:pt>
                <c:pt idx="173">
                  <c:v>3.94005</c:v>
                </c:pt>
                <c:pt idx="174">
                  <c:v>3.9626</c:v>
                </c:pt>
                <c:pt idx="175">
                  <c:v>3.98515</c:v>
                </c:pt>
                <c:pt idx="176">
                  <c:v>4.0077</c:v>
                </c:pt>
                <c:pt idx="177">
                  <c:v>4.03025</c:v>
                </c:pt>
                <c:pt idx="178">
                  <c:v>4.0528</c:v>
                </c:pt>
                <c:pt idx="179">
                  <c:v>4.07535</c:v>
                </c:pt>
                <c:pt idx="180">
                  <c:v>4.0979</c:v>
                </c:pt>
                <c:pt idx="181">
                  <c:v>4.12045</c:v>
                </c:pt>
                <c:pt idx="182">
                  <c:v>4.143</c:v>
                </c:pt>
                <c:pt idx="183">
                  <c:v>4.16555</c:v>
                </c:pt>
                <c:pt idx="184">
                  <c:v>4.1881</c:v>
                </c:pt>
                <c:pt idx="185">
                  <c:v>4.21065</c:v>
                </c:pt>
                <c:pt idx="186">
                  <c:v>4.2332</c:v>
                </c:pt>
                <c:pt idx="187">
                  <c:v>4.25575</c:v>
                </c:pt>
                <c:pt idx="188">
                  <c:v>4.2783</c:v>
                </c:pt>
                <c:pt idx="189">
                  <c:v>4.30085</c:v>
                </c:pt>
                <c:pt idx="190">
                  <c:v>4.3234</c:v>
                </c:pt>
                <c:pt idx="191">
                  <c:v>4.34595</c:v>
                </c:pt>
                <c:pt idx="192">
                  <c:v>4.3685</c:v>
                </c:pt>
                <c:pt idx="193">
                  <c:v>4.39105</c:v>
                </c:pt>
                <c:pt idx="194">
                  <c:v>4.4136</c:v>
                </c:pt>
                <c:pt idx="195">
                  <c:v>4.43615</c:v>
                </c:pt>
                <c:pt idx="196">
                  <c:v>4.4587</c:v>
                </c:pt>
                <c:pt idx="197">
                  <c:v>4.48125</c:v>
                </c:pt>
                <c:pt idx="198">
                  <c:v>4.5038</c:v>
                </c:pt>
                <c:pt idx="199">
                  <c:v>4.52635</c:v>
                </c:pt>
                <c:pt idx="200">
                  <c:v>4.5489</c:v>
                </c:pt>
                <c:pt idx="201">
                  <c:v>4.57145</c:v>
                </c:pt>
                <c:pt idx="202">
                  <c:v>4.594</c:v>
                </c:pt>
                <c:pt idx="203">
                  <c:v>4.61655</c:v>
                </c:pt>
                <c:pt idx="204">
                  <c:v>4.6391</c:v>
                </c:pt>
                <c:pt idx="205">
                  <c:v>4.66165</c:v>
                </c:pt>
                <c:pt idx="206">
                  <c:v>4.6842</c:v>
                </c:pt>
                <c:pt idx="207">
                  <c:v>4.70675</c:v>
                </c:pt>
                <c:pt idx="208">
                  <c:v>4.7293</c:v>
                </c:pt>
                <c:pt idx="209">
                  <c:v>4.75185</c:v>
                </c:pt>
                <c:pt idx="210">
                  <c:v>4.7744</c:v>
                </c:pt>
                <c:pt idx="211">
                  <c:v>4.79695</c:v>
                </c:pt>
                <c:pt idx="212">
                  <c:v>4.8195</c:v>
                </c:pt>
                <c:pt idx="213">
                  <c:v>4.84205</c:v>
                </c:pt>
                <c:pt idx="214">
                  <c:v>4.8646</c:v>
                </c:pt>
                <c:pt idx="215">
                  <c:v>4.88715</c:v>
                </c:pt>
                <c:pt idx="216">
                  <c:v>4.9097</c:v>
                </c:pt>
                <c:pt idx="217">
                  <c:v>4.93225</c:v>
                </c:pt>
                <c:pt idx="218">
                  <c:v>4.9548</c:v>
                </c:pt>
                <c:pt idx="219">
                  <c:v>4.97735</c:v>
                </c:pt>
                <c:pt idx="220">
                  <c:v>4.9999</c:v>
                </c:pt>
                <c:pt idx="221">
                  <c:v>5.02245</c:v>
                </c:pt>
                <c:pt idx="222">
                  <c:v>5.045</c:v>
                </c:pt>
                <c:pt idx="223">
                  <c:v>5.06755</c:v>
                </c:pt>
                <c:pt idx="224">
                  <c:v>5.0901</c:v>
                </c:pt>
                <c:pt idx="225">
                  <c:v>5.11265</c:v>
                </c:pt>
                <c:pt idx="226">
                  <c:v>5.1352</c:v>
                </c:pt>
                <c:pt idx="227">
                  <c:v>5.15775</c:v>
                </c:pt>
                <c:pt idx="228">
                  <c:v>5.1803</c:v>
                </c:pt>
                <c:pt idx="229">
                  <c:v>5.20285</c:v>
                </c:pt>
                <c:pt idx="230">
                  <c:v>5.2254</c:v>
                </c:pt>
                <c:pt idx="231">
                  <c:v>5.24795</c:v>
                </c:pt>
                <c:pt idx="232">
                  <c:v>5.2705</c:v>
                </c:pt>
                <c:pt idx="233">
                  <c:v>5.29305</c:v>
                </c:pt>
                <c:pt idx="234">
                  <c:v>5.3156</c:v>
                </c:pt>
                <c:pt idx="235">
                  <c:v>5.33815</c:v>
                </c:pt>
                <c:pt idx="236">
                  <c:v>5.3607</c:v>
                </c:pt>
                <c:pt idx="237">
                  <c:v>5.38325</c:v>
                </c:pt>
                <c:pt idx="238">
                  <c:v>5.4058</c:v>
                </c:pt>
                <c:pt idx="239">
                  <c:v>5.42835</c:v>
                </c:pt>
                <c:pt idx="240">
                  <c:v>5.4509</c:v>
                </c:pt>
                <c:pt idx="241">
                  <c:v>5.47345</c:v>
                </c:pt>
                <c:pt idx="242">
                  <c:v>5.496</c:v>
                </c:pt>
                <c:pt idx="243">
                  <c:v>5.51855</c:v>
                </c:pt>
                <c:pt idx="244">
                  <c:v>5.5411</c:v>
                </c:pt>
                <c:pt idx="245">
                  <c:v>5.56365</c:v>
                </c:pt>
                <c:pt idx="246">
                  <c:v>5.5862</c:v>
                </c:pt>
                <c:pt idx="247">
                  <c:v>5.60875</c:v>
                </c:pt>
                <c:pt idx="248">
                  <c:v>5.6313</c:v>
                </c:pt>
                <c:pt idx="249">
                  <c:v>5.65385</c:v>
                </c:pt>
                <c:pt idx="250">
                  <c:v>5.6764</c:v>
                </c:pt>
                <c:pt idx="251">
                  <c:v>5.69895</c:v>
                </c:pt>
                <c:pt idx="252">
                  <c:v>5.7215</c:v>
                </c:pt>
                <c:pt idx="253">
                  <c:v>5.74405</c:v>
                </c:pt>
                <c:pt idx="254">
                  <c:v>5.7666</c:v>
                </c:pt>
                <c:pt idx="255">
                  <c:v>5.78915</c:v>
                </c:pt>
                <c:pt idx="256">
                  <c:v>5.8117</c:v>
                </c:pt>
                <c:pt idx="257">
                  <c:v>5.83425</c:v>
                </c:pt>
                <c:pt idx="258">
                  <c:v>5.8568</c:v>
                </c:pt>
                <c:pt idx="259">
                  <c:v>5.87935</c:v>
                </c:pt>
                <c:pt idx="260">
                  <c:v>5.9019</c:v>
                </c:pt>
                <c:pt idx="261">
                  <c:v>5.92445</c:v>
                </c:pt>
                <c:pt idx="262">
                  <c:v>5.947</c:v>
                </c:pt>
                <c:pt idx="263">
                  <c:v>5.96955</c:v>
                </c:pt>
                <c:pt idx="264">
                  <c:v>5.9921</c:v>
                </c:pt>
                <c:pt idx="265">
                  <c:v>6.01465</c:v>
                </c:pt>
                <c:pt idx="266">
                  <c:v>6.0372</c:v>
                </c:pt>
                <c:pt idx="267">
                  <c:v>6.05975</c:v>
                </c:pt>
                <c:pt idx="268">
                  <c:v>6.0823</c:v>
                </c:pt>
                <c:pt idx="269">
                  <c:v>6.10485</c:v>
                </c:pt>
                <c:pt idx="270">
                  <c:v>6.1274</c:v>
                </c:pt>
                <c:pt idx="271">
                  <c:v>6.14995</c:v>
                </c:pt>
                <c:pt idx="272">
                  <c:v>6.1725</c:v>
                </c:pt>
                <c:pt idx="273">
                  <c:v>6.19505</c:v>
                </c:pt>
                <c:pt idx="274">
                  <c:v>6.2176</c:v>
                </c:pt>
                <c:pt idx="275">
                  <c:v>6.24015</c:v>
                </c:pt>
                <c:pt idx="276">
                  <c:v>6.2627</c:v>
                </c:pt>
                <c:pt idx="277">
                  <c:v>6.28525</c:v>
                </c:pt>
                <c:pt idx="278">
                  <c:v>6.3078</c:v>
                </c:pt>
                <c:pt idx="279">
                  <c:v>6.33035</c:v>
                </c:pt>
                <c:pt idx="280">
                  <c:v>6.3529</c:v>
                </c:pt>
                <c:pt idx="281">
                  <c:v>6.37545</c:v>
                </c:pt>
                <c:pt idx="282">
                  <c:v>6.398</c:v>
                </c:pt>
                <c:pt idx="283">
                  <c:v>6.42055</c:v>
                </c:pt>
                <c:pt idx="284">
                  <c:v>6.4431</c:v>
                </c:pt>
                <c:pt idx="285">
                  <c:v>6.46565</c:v>
                </c:pt>
                <c:pt idx="286">
                  <c:v>6.4882</c:v>
                </c:pt>
                <c:pt idx="287">
                  <c:v>6.51075</c:v>
                </c:pt>
                <c:pt idx="288">
                  <c:v>6.5333</c:v>
                </c:pt>
                <c:pt idx="289">
                  <c:v>6.55585</c:v>
                </c:pt>
                <c:pt idx="290">
                  <c:v>6.5784</c:v>
                </c:pt>
                <c:pt idx="291">
                  <c:v>6.60095</c:v>
                </c:pt>
                <c:pt idx="292">
                  <c:v>6.6235</c:v>
                </c:pt>
                <c:pt idx="293">
                  <c:v>6.64605</c:v>
                </c:pt>
                <c:pt idx="294">
                  <c:v>6.6686</c:v>
                </c:pt>
                <c:pt idx="295">
                  <c:v>6.69115</c:v>
                </c:pt>
                <c:pt idx="296">
                  <c:v>6.7137</c:v>
                </c:pt>
                <c:pt idx="297">
                  <c:v>6.73625</c:v>
                </c:pt>
                <c:pt idx="298">
                  <c:v>6.7588</c:v>
                </c:pt>
                <c:pt idx="299">
                  <c:v>6.78135</c:v>
                </c:pt>
                <c:pt idx="300">
                  <c:v>6.8039</c:v>
                </c:pt>
                <c:pt idx="301">
                  <c:v>6.82645</c:v>
                </c:pt>
                <c:pt idx="302">
                  <c:v>6.849</c:v>
                </c:pt>
                <c:pt idx="303">
                  <c:v>6.87155</c:v>
                </c:pt>
                <c:pt idx="304">
                  <c:v>6.8941</c:v>
                </c:pt>
                <c:pt idx="305">
                  <c:v>6.91665</c:v>
                </c:pt>
                <c:pt idx="306">
                  <c:v>6.9392</c:v>
                </c:pt>
                <c:pt idx="307">
                  <c:v>6.96175</c:v>
                </c:pt>
                <c:pt idx="308">
                  <c:v>6.9843</c:v>
                </c:pt>
                <c:pt idx="309">
                  <c:v>7.00685</c:v>
                </c:pt>
                <c:pt idx="310">
                  <c:v>7.0294</c:v>
                </c:pt>
                <c:pt idx="311">
                  <c:v>7.05195</c:v>
                </c:pt>
                <c:pt idx="312">
                  <c:v>7.0745</c:v>
                </c:pt>
                <c:pt idx="313">
                  <c:v>7.09705</c:v>
                </c:pt>
                <c:pt idx="314">
                  <c:v>7.1196</c:v>
                </c:pt>
                <c:pt idx="315">
                  <c:v>7.14215</c:v>
                </c:pt>
                <c:pt idx="316">
                  <c:v>7.1647</c:v>
                </c:pt>
                <c:pt idx="317">
                  <c:v>7.18725</c:v>
                </c:pt>
                <c:pt idx="318">
                  <c:v>7.2098</c:v>
                </c:pt>
                <c:pt idx="319">
                  <c:v>7.23235</c:v>
                </c:pt>
                <c:pt idx="320">
                  <c:v>7.2549</c:v>
                </c:pt>
                <c:pt idx="321">
                  <c:v>7.27745</c:v>
                </c:pt>
                <c:pt idx="322">
                  <c:v>7.3</c:v>
                </c:pt>
                <c:pt idx="323">
                  <c:v>7.32255</c:v>
                </c:pt>
                <c:pt idx="324">
                  <c:v>7.3451</c:v>
                </c:pt>
                <c:pt idx="325">
                  <c:v>7.36765</c:v>
                </c:pt>
                <c:pt idx="326">
                  <c:v>7.3902</c:v>
                </c:pt>
                <c:pt idx="327">
                  <c:v>7.41275</c:v>
                </c:pt>
                <c:pt idx="328">
                  <c:v>7.4353</c:v>
                </c:pt>
                <c:pt idx="329">
                  <c:v>7.45785</c:v>
                </c:pt>
                <c:pt idx="330">
                  <c:v>7.4804</c:v>
                </c:pt>
                <c:pt idx="331">
                  <c:v>7.50295</c:v>
                </c:pt>
                <c:pt idx="332">
                  <c:v>7.5255</c:v>
                </c:pt>
                <c:pt idx="333">
                  <c:v>7.54805</c:v>
                </c:pt>
                <c:pt idx="334">
                  <c:v>7.5706</c:v>
                </c:pt>
                <c:pt idx="335">
                  <c:v>7.59315</c:v>
                </c:pt>
                <c:pt idx="336">
                  <c:v>7.6157</c:v>
                </c:pt>
                <c:pt idx="337">
                  <c:v>7.63825</c:v>
                </c:pt>
                <c:pt idx="338">
                  <c:v>7.6608</c:v>
                </c:pt>
                <c:pt idx="339">
                  <c:v>7.68335</c:v>
                </c:pt>
                <c:pt idx="340">
                  <c:v>7.7059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"Ya inferior"</c:f>
              <c:strCache>
                <c:ptCount val="1"/>
                <c:pt idx="0">
                  <c:v>Ya inferior</c:v>
                </c:pt>
              </c:strCache>
            </c:strRef>
          </c:tx>
          <c:spPr>
            <a:solidFill>
              <a:srgbClr val="FF0000"/>
            </a:solidFill>
            <a:ln w="93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'intervalo de confianç'!$A$30:$A$370</c:f>
              <c:numCache>
                <c:formatCode>General</c:formatCode>
                <c:ptCount val="34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  <c:pt idx="101">
                  <c:v>905</c:v>
                </c:pt>
                <c:pt idx="102">
                  <c:v>910</c:v>
                </c:pt>
                <c:pt idx="103">
                  <c:v>915</c:v>
                </c:pt>
                <c:pt idx="104">
                  <c:v>920</c:v>
                </c:pt>
                <c:pt idx="105">
                  <c:v>925</c:v>
                </c:pt>
                <c:pt idx="106">
                  <c:v>930</c:v>
                </c:pt>
                <c:pt idx="107">
                  <c:v>935</c:v>
                </c:pt>
                <c:pt idx="108">
                  <c:v>940</c:v>
                </c:pt>
                <c:pt idx="109">
                  <c:v>945</c:v>
                </c:pt>
                <c:pt idx="110">
                  <c:v>950</c:v>
                </c:pt>
                <c:pt idx="111">
                  <c:v>955</c:v>
                </c:pt>
                <c:pt idx="112">
                  <c:v>960</c:v>
                </c:pt>
                <c:pt idx="113">
                  <c:v>965</c:v>
                </c:pt>
                <c:pt idx="114">
                  <c:v>970</c:v>
                </c:pt>
                <c:pt idx="115">
                  <c:v>975</c:v>
                </c:pt>
                <c:pt idx="116">
                  <c:v>980</c:v>
                </c:pt>
                <c:pt idx="117">
                  <c:v>985</c:v>
                </c:pt>
                <c:pt idx="118">
                  <c:v>990</c:v>
                </c:pt>
                <c:pt idx="119">
                  <c:v>995</c:v>
                </c:pt>
                <c:pt idx="120">
                  <c:v>1000</c:v>
                </c:pt>
                <c:pt idx="121">
                  <c:v>1005</c:v>
                </c:pt>
                <c:pt idx="122">
                  <c:v>1010</c:v>
                </c:pt>
                <c:pt idx="123">
                  <c:v>1015</c:v>
                </c:pt>
                <c:pt idx="124">
                  <c:v>1020</c:v>
                </c:pt>
                <c:pt idx="125">
                  <c:v>1025</c:v>
                </c:pt>
                <c:pt idx="126">
                  <c:v>1030</c:v>
                </c:pt>
                <c:pt idx="127">
                  <c:v>1035</c:v>
                </c:pt>
                <c:pt idx="128">
                  <c:v>1040</c:v>
                </c:pt>
                <c:pt idx="129">
                  <c:v>1045</c:v>
                </c:pt>
                <c:pt idx="130">
                  <c:v>1050</c:v>
                </c:pt>
                <c:pt idx="131">
                  <c:v>1055</c:v>
                </c:pt>
                <c:pt idx="132">
                  <c:v>1060</c:v>
                </c:pt>
                <c:pt idx="133">
                  <c:v>1065</c:v>
                </c:pt>
                <c:pt idx="134">
                  <c:v>1070</c:v>
                </c:pt>
                <c:pt idx="135">
                  <c:v>1075</c:v>
                </c:pt>
                <c:pt idx="136">
                  <c:v>1080</c:v>
                </c:pt>
                <c:pt idx="137">
                  <c:v>1085</c:v>
                </c:pt>
                <c:pt idx="138">
                  <c:v>1090</c:v>
                </c:pt>
                <c:pt idx="139">
                  <c:v>1095</c:v>
                </c:pt>
                <c:pt idx="140">
                  <c:v>1100</c:v>
                </c:pt>
                <c:pt idx="141">
                  <c:v>1105</c:v>
                </c:pt>
                <c:pt idx="142">
                  <c:v>1110</c:v>
                </c:pt>
                <c:pt idx="143">
                  <c:v>1115</c:v>
                </c:pt>
                <c:pt idx="144">
                  <c:v>1120</c:v>
                </c:pt>
                <c:pt idx="145">
                  <c:v>1125</c:v>
                </c:pt>
                <c:pt idx="146">
                  <c:v>1130</c:v>
                </c:pt>
                <c:pt idx="147">
                  <c:v>1135</c:v>
                </c:pt>
                <c:pt idx="148">
                  <c:v>1140</c:v>
                </c:pt>
                <c:pt idx="149">
                  <c:v>1145</c:v>
                </c:pt>
                <c:pt idx="150">
                  <c:v>1150</c:v>
                </c:pt>
                <c:pt idx="151">
                  <c:v>1155</c:v>
                </c:pt>
                <c:pt idx="152">
                  <c:v>1160</c:v>
                </c:pt>
                <c:pt idx="153">
                  <c:v>1165</c:v>
                </c:pt>
                <c:pt idx="154">
                  <c:v>1170</c:v>
                </c:pt>
                <c:pt idx="155">
                  <c:v>1175</c:v>
                </c:pt>
                <c:pt idx="156">
                  <c:v>1180</c:v>
                </c:pt>
                <c:pt idx="157">
                  <c:v>1185</c:v>
                </c:pt>
                <c:pt idx="158">
                  <c:v>1190</c:v>
                </c:pt>
                <c:pt idx="159">
                  <c:v>1195</c:v>
                </c:pt>
                <c:pt idx="160">
                  <c:v>1200</c:v>
                </c:pt>
                <c:pt idx="161">
                  <c:v>1205</c:v>
                </c:pt>
                <c:pt idx="162">
                  <c:v>1210</c:v>
                </c:pt>
                <c:pt idx="163">
                  <c:v>1215</c:v>
                </c:pt>
                <c:pt idx="164">
                  <c:v>1220</c:v>
                </c:pt>
                <c:pt idx="165">
                  <c:v>1225</c:v>
                </c:pt>
                <c:pt idx="166">
                  <c:v>1230</c:v>
                </c:pt>
                <c:pt idx="167">
                  <c:v>1235</c:v>
                </c:pt>
                <c:pt idx="168">
                  <c:v>1240</c:v>
                </c:pt>
                <c:pt idx="169">
                  <c:v>1245</c:v>
                </c:pt>
                <c:pt idx="170">
                  <c:v>1250</c:v>
                </c:pt>
                <c:pt idx="171">
                  <c:v>1255</c:v>
                </c:pt>
                <c:pt idx="172">
                  <c:v>1260</c:v>
                </c:pt>
                <c:pt idx="173">
                  <c:v>1265</c:v>
                </c:pt>
                <c:pt idx="174">
                  <c:v>1270</c:v>
                </c:pt>
                <c:pt idx="175">
                  <c:v>1275</c:v>
                </c:pt>
                <c:pt idx="176">
                  <c:v>1280</c:v>
                </c:pt>
                <c:pt idx="177">
                  <c:v>1285</c:v>
                </c:pt>
                <c:pt idx="178">
                  <c:v>1290</c:v>
                </c:pt>
                <c:pt idx="179">
                  <c:v>1295</c:v>
                </c:pt>
                <c:pt idx="180">
                  <c:v>1300</c:v>
                </c:pt>
                <c:pt idx="181">
                  <c:v>1305</c:v>
                </c:pt>
                <c:pt idx="182">
                  <c:v>1310</c:v>
                </c:pt>
                <c:pt idx="183">
                  <c:v>1315</c:v>
                </c:pt>
                <c:pt idx="184">
                  <c:v>1320</c:v>
                </c:pt>
                <c:pt idx="185">
                  <c:v>1325</c:v>
                </c:pt>
                <c:pt idx="186">
                  <c:v>1330</c:v>
                </c:pt>
                <c:pt idx="187">
                  <c:v>1335</c:v>
                </c:pt>
                <c:pt idx="188">
                  <c:v>1340</c:v>
                </c:pt>
                <c:pt idx="189">
                  <c:v>1345</c:v>
                </c:pt>
                <c:pt idx="190">
                  <c:v>1350</c:v>
                </c:pt>
                <c:pt idx="191">
                  <c:v>1355</c:v>
                </c:pt>
                <c:pt idx="192">
                  <c:v>1360</c:v>
                </c:pt>
                <c:pt idx="193">
                  <c:v>1365</c:v>
                </c:pt>
                <c:pt idx="194">
                  <c:v>1370</c:v>
                </c:pt>
                <c:pt idx="195">
                  <c:v>1375</c:v>
                </c:pt>
                <c:pt idx="196">
                  <c:v>1380</c:v>
                </c:pt>
                <c:pt idx="197">
                  <c:v>1385</c:v>
                </c:pt>
                <c:pt idx="198">
                  <c:v>1390</c:v>
                </c:pt>
                <c:pt idx="199">
                  <c:v>1395</c:v>
                </c:pt>
                <c:pt idx="200">
                  <c:v>1400</c:v>
                </c:pt>
                <c:pt idx="201">
                  <c:v>1405</c:v>
                </c:pt>
                <c:pt idx="202">
                  <c:v>1410</c:v>
                </c:pt>
                <c:pt idx="203">
                  <c:v>1415</c:v>
                </c:pt>
                <c:pt idx="204">
                  <c:v>1420</c:v>
                </c:pt>
                <c:pt idx="205">
                  <c:v>1425</c:v>
                </c:pt>
                <c:pt idx="206">
                  <c:v>1430</c:v>
                </c:pt>
                <c:pt idx="207">
                  <c:v>1435</c:v>
                </c:pt>
                <c:pt idx="208">
                  <c:v>1440</c:v>
                </c:pt>
                <c:pt idx="209">
                  <c:v>1445</c:v>
                </c:pt>
                <c:pt idx="210">
                  <c:v>1450</c:v>
                </c:pt>
                <c:pt idx="211">
                  <c:v>1455</c:v>
                </c:pt>
                <c:pt idx="212">
                  <c:v>1460</c:v>
                </c:pt>
                <c:pt idx="213">
                  <c:v>1465</c:v>
                </c:pt>
                <c:pt idx="214">
                  <c:v>1470</c:v>
                </c:pt>
                <c:pt idx="215">
                  <c:v>1475</c:v>
                </c:pt>
                <c:pt idx="216">
                  <c:v>1480</c:v>
                </c:pt>
                <c:pt idx="217">
                  <c:v>1485</c:v>
                </c:pt>
                <c:pt idx="218">
                  <c:v>1490</c:v>
                </c:pt>
                <c:pt idx="219">
                  <c:v>1495</c:v>
                </c:pt>
                <c:pt idx="220">
                  <c:v>1500</c:v>
                </c:pt>
                <c:pt idx="221">
                  <c:v>1505</c:v>
                </c:pt>
                <c:pt idx="222">
                  <c:v>1510</c:v>
                </c:pt>
                <c:pt idx="223">
                  <c:v>1515</c:v>
                </c:pt>
                <c:pt idx="224">
                  <c:v>1520</c:v>
                </c:pt>
                <c:pt idx="225">
                  <c:v>1525</c:v>
                </c:pt>
                <c:pt idx="226">
                  <c:v>1530</c:v>
                </c:pt>
                <c:pt idx="227">
                  <c:v>1535</c:v>
                </c:pt>
                <c:pt idx="228">
                  <c:v>1540</c:v>
                </c:pt>
                <c:pt idx="229">
                  <c:v>1545</c:v>
                </c:pt>
                <c:pt idx="230">
                  <c:v>1550</c:v>
                </c:pt>
                <c:pt idx="231">
                  <c:v>1555</c:v>
                </c:pt>
                <c:pt idx="232">
                  <c:v>1560</c:v>
                </c:pt>
                <c:pt idx="233">
                  <c:v>1565</c:v>
                </c:pt>
                <c:pt idx="234">
                  <c:v>1570</c:v>
                </c:pt>
                <c:pt idx="235">
                  <c:v>1575</c:v>
                </c:pt>
                <c:pt idx="236">
                  <c:v>1580</c:v>
                </c:pt>
                <c:pt idx="237">
                  <c:v>1585</c:v>
                </c:pt>
                <c:pt idx="238">
                  <c:v>1590</c:v>
                </c:pt>
                <c:pt idx="239">
                  <c:v>1595</c:v>
                </c:pt>
                <c:pt idx="240">
                  <c:v>1600</c:v>
                </c:pt>
                <c:pt idx="241">
                  <c:v>1605</c:v>
                </c:pt>
                <c:pt idx="242">
                  <c:v>1610</c:v>
                </c:pt>
                <c:pt idx="243">
                  <c:v>1615</c:v>
                </c:pt>
                <c:pt idx="244">
                  <c:v>1620</c:v>
                </c:pt>
                <c:pt idx="245">
                  <c:v>1625</c:v>
                </c:pt>
                <c:pt idx="246">
                  <c:v>1630</c:v>
                </c:pt>
                <c:pt idx="247">
                  <c:v>1635</c:v>
                </c:pt>
                <c:pt idx="248">
                  <c:v>1640</c:v>
                </c:pt>
                <c:pt idx="249">
                  <c:v>1645</c:v>
                </c:pt>
                <c:pt idx="250">
                  <c:v>1650</c:v>
                </c:pt>
                <c:pt idx="251">
                  <c:v>1655</c:v>
                </c:pt>
                <c:pt idx="252">
                  <c:v>1660</c:v>
                </c:pt>
                <c:pt idx="253">
                  <c:v>1665</c:v>
                </c:pt>
                <c:pt idx="254">
                  <c:v>1670</c:v>
                </c:pt>
                <c:pt idx="255">
                  <c:v>1675</c:v>
                </c:pt>
                <c:pt idx="256">
                  <c:v>1680</c:v>
                </c:pt>
                <c:pt idx="257">
                  <c:v>1685</c:v>
                </c:pt>
                <c:pt idx="258">
                  <c:v>1690</c:v>
                </c:pt>
                <c:pt idx="259">
                  <c:v>1695</c:v>
                </c:pt>
                <c:pt idx="260">
                  <c:v>1700</c:v>
                </c:pt>
                <c:pt idx="261">
                  <c:v>1705</c:v>
                </c:pt>
                <c:pt idx="262">
                  <c:v>1710</c:v>
                </c:pt>
                <c:pt idx="263">
                  <c:v>1715</c:v>
                </c:pt>
                <c:pt idx="264">
                  <c:v>1720</c:v>
                </c:pt>
                <c:pt idx="265">
                  <c:v>1725</c:v>
                </c:pt>
                <c:pt idx="266">
                  <c:v>1730</c:v>
                </c:pt>
                <c:pt idx="267">
                  <c:v>1735</c:v>
                </c:pt>
                <c:pt idx="268">
                  <c:v>1740</c:v>
                </c:pt>
                <c:pt idx="269">
                  <c:v>1745</c:v>
                </c:pt>
                <c:pt idx="270">
                  <c:v>1750</c:v>
                </c:pt>
                <c:pt idx="271">
                  <c:v>1755</c:v>
                </c:pt>
                <c:pt idx="272">
                  <c:v>1760</c:v>
                </c:pt>
                <c:pt idx="273">
                  <c:v>1765</c:v>
                </c:pt>
                <c:pt idx="274">
                  <c:v>1770</c:v>
                </c:pt>
                <c:pt idx="275">
                  <c:v>1775</c:v>
                </c:pt>
                <c:pt idx="276">
                  <c:v>1780</c:v>
                </c:pt>
                <c:pt idx="277">
                  <c:v>1785</c:v>
                </c:pt>
                <c:pt idx="278">
                  <c:v>1790</c:v>
                </c:pt>
                <c:pt idx="279">
                  <c:v>1795</c:v>
                </c:pt>
                <c:pt idx="280">
                  <c:v>1800</c:v>
                </c:pt>
                <c:pt idx="281">
                  <c:v>1805</c:v>
                </c:pt>
                <c:pt idx="282">
                  <c:v>1810</c:v>
                </c:pt>
                <c:pt idx="283">
                  <c:v>1815</c:v>
                </c:pt>
                <c:pt idx="284">
                  <c:v>1820</c:v>
                </c:pt>
                <c:pt idx="285">
                  <c:v>1825</c:v>
                </c:pt>
                <c:pt idx="286">
                  <c:v>1830</c:v>
                </c:pt>
                <c:pt idx="287">
                  <c:v>1835</c:v>
                </c:pt>
                <c:pt idx="288">
                  <c:v>1840</c:v>
                </c:pt>
                <c:pt idx="289">
                  <c:v>1845</c:v>
                </c:pt>
                <c:pt idx="290">
                  <c:v>1850</c:v>
                </c:pt>
                <c:pt idx="291">
                  <c:v>1855</c:v>
                </c:pt>
                <c:pt idx="292">
                  <c:v>1860</c:v>
                </c:pt>
                <c:pt idx="293">
                  <c:v>1865</c:v>
                </c:pt>
                <c:pt idx="294">
                  <c:v>1870</c:v>
                </c:pt>
                <c:pt idx="295">
                  <c:v>1875</c:v>
                </c:pt>
                <c:pt idx="296">
                  <c:v>1880</c:v>
                </c:pt>
                <c:pt idx="297">
                  <c:v>1885</c:v>
                </c:pt>
                <c:pt idx="298">
                  <c:v>1890</c:v>
                </c:pt>
                <c:pt idx="299">
                  <c:v>1895</c:v>
                </c:pt>
                <c:pt idx="300">
                  <c:v>1900</c:v>
                </c:pt>
                <c:pt idx="301">
                  <c:v>1905</c:v>
                </c:pt>
                <c:pt idx="302">
                  <c:v>1910</c:v>
                </c:pt>
                <c:pt idx="303">
                  <c:v>1915</c:v>
                </c:pt>
                <c:pt idx="304">
                  <c:v>1920</c:v>
                </c:pt>
                <c:pt idx="305">
                  <c:v>1925</c:v>
                </c:pt>
                <c:pt idx="306">
                  <c:v>1930</c:v>
                </c:pt>
                <c:pt idx="307">
                  <c:v>1935</c:v>
                </c:pt>
                <c:pt idx="308">
                  <c:v>1940</c:v>
                </c:pt>
                <c:pt idx="309">
                  <c:v>1945</c:v>
                </c:pt>
                <c:pt idx="310">
                  <c:v>1950</c:v>
                </c:pt>
                <c:pt idx="311">
                  <c:v>1955</c:v>
                </c:pt>
                <c:pt idx="312">
                  <c:v>1960</c:v>
                </c:pt>
                <c:pt idx="313">
                  <c:v>1965</c:v>
                </c:pt>
                <c:pt idx="314">
                  <c:v>1970</c:v>
                </c:pt>
                <c:pt idx="315">
                  <c:v>1975</c:v>
                </c:pt>
                <c:pt idx="316">
                  <c:v>1980</c:v>
                </c:pt>
                <c:pt idx="317">
                  <c:v>1985</c:v>
                </c:pt>
                <c:pt idx="318">
                  <c:v>1990</c:v>
                </c:pt>
                <c:pt idx="319">
                  <c:v>1995</c:v>
                </c:pt>
                <c:pt idx="320">
                  <c:v>2000</c:v>
                </c:pt>
                <c:pt idx="321">
                  <c:v>2005</c:v>
                </c:pt>
                <c:pt idx="322">
                  <c:v>2010</c:v>
                </c:pt>
                <c:pt idx="323">
                  <c:v>2015</c:v>
                </c:pt>
                <c:pt idx="324">
                  <c:v>2020</c:v>
                </c:pt>
                <c:pt idx="325">
                  <c:v>2025</c:v>
                </c:pt>
                <c:pt idx="326">
                  <c:v>2030</c:v>
                </c:pt>
                <c:pt idx="327">
                  <c:v>2035</c:v>
                </c:pt>
                <c:pt idx="328">
                  <c:v>2040</c:v>
                </c:pt>
                <c:pt idx="329">
                  <c:v>2045</c:v>
                </c:pt>
                <c:pt idx="330">
                  <c:v>2050</c:v>
                </c:pt>
                <c:pt idx="331">
                  <c:v>2055</c:v>
                </c:pt>
                <c:pt idx="332">
                  <c:v>2060</c:v>
                </c:pt>
                <c:pt idx="333">
                  <c:v>2065</c:v>
                </c:pt>
                <c:pt idx="334">
                  <c:v>2070</c:v>
                </c:pt>
                <c:pt idx="335">
                  <c:v>2075</c:v>
                </c:pt>
                <c:pt idx="336">
                  <c:v>2080</c:v>
                </c:pt>
                <c:pt idx="337">
                  <c:v>2085</c:v>
                </c:pt>
                <c:pt idx="338">
                  <c:v>2090</c:v>
                </c:pt>
                <c:pt idx="339">
                  <c:v>2095</c:v>
                </c:pt>
                <c:pt idx="340">
                  <c:v>2100</c:v>
                </c:pt>
              </c:numCache>
            </c:numRef>
          </c:xVal>
          <c:yVal>
            <c:numRef>
              <c:f>'intervalo de confianç'!$E$30:$E$370</c:f>
              <c:numCache>
                <c:formatCode>General</c:formatCode>
                <c:ptCount val="341"/>
                <c:pt idx="0">
                  <c:v>-0.136054015692993</c:v>
                </c:pt>
                <c:pt idx="1">
                  <c:v>-0.113374130765256</c:v>
                </c:pt>
                <c:pt idx="2">
                  <c:v>-0.0906949164043247</c:v>
                </c:pt>
                <c:pt idx="3">
                  <c:v>-0.0680163740992628</c:v>
                </c:pt>
                <c:pt idx="4">
                  <c:v>-0.0453385053357683</c:v>
                </c:pt>
                <c:pt idx="5">
                  <c:v>-0.0226613115961019</c:v>
                </c:pt>
                <c:pt idx="6">
                  <c:v>1.52056409832013E-005</c:v>
                </c:pt>
                <c:pt idx="7">
                  <c:v>0.02269104490031</c:v>
                </c:pt>
                <c:pt idx="8">
                  <c:v>0.045366204710349</c:v>
                </c:pt>
                <c:pt idx="9">
                  <c:v>0.06804068360329</c:v>
                </c:pt>
                <c:pt idx="10">
                  <c:v>0.09071448011511</c:v>
                </c:pt>
                <c:pt idx="11">
                  <c:v>0.113387592785648</c:v>
                </c:pt>
                <c:pt idx="12">
                  <c:v>0.136060020158673</c:v>
                </c:pt>
                <c:pt idx="13">
                  <c:v>0.158731760781957</c:v>
                </c:pt>
                <c:pt idx="14">
                  <c:v>0.181402813207348</c:v>
                </c:pt>
                <c:pt idx="15">
                  <c:v>0.20407317599084</c:v>
                </c:pt>
                <c:pt idx="16">
                  <c:v>0.226742847692643</c:v>
                </c:pt>
                <c:pt idx="17">
                  <c:v>0.24941182687726</c:v>
                </c:pt>
                <c:pt idx="18">
                  <c:v>0.272080112113558</c:v>
                </c:pt>
                <c:pt idx="19">
                  <c:v>0.294747701974836</c:v>
                </c:pt>
                <c:pt idx="20">
                  <c:v>0.317414595038904</c:v>
                </c:pt>
                <c:pt idx="21">
                  <c:v>0.340080789888152</c:v>
                </c:pt>
                <c:pt idx="22">
                  <c:v>0.362746285109625</c:v>
                </c:pt>
                <c:pt idx="23">
                  <c:v>0.385411079295093</c:v>
                </c:pt>
                <c:pt idx="24">
                  <c:v>0.408075171041129</c:v>
                </c:pt>
                <c:pt idx="25">
                  <c:v>0.430738558949176</c:v>
                </c:pt>
                <c:pt idx="26">
                  <c:v>0.453401241625626</c:v>
                </c:pt>
                <c:pt idx="27">
                  <c:v>0.476063217681893</c:v>
                </c:pt>
                <c:pt idx="28">
                  <c:v>0.498724485734482</c:v>
                </c:pt>
                <c:pt idx="29">
                  <c:v>0.521385044405067</c:v>
                </c:pt>
                <c:pt idx="30">
                  <c:v>0.544044892320565</c:v>
                </c:pt>
                <c:pt idx="31">
                  <c:v>0.566704028113207</c:v>
                </c:pt>
                <c:pt idx="32">
                  <c:v>0.589362450420612</c:v>
                </c:pt>
                <c:pt idx="33">
                  <c:v>0.612020157885865</c:v>
                </c:pt>
                <c:pt idx="34">
                  <c:v>0.634677149157588</c:v>
                </c:pt>
                <c:pt idx="35">
                  <c:v>0.657333422890012</c:v>
                </c:pt>
                <c:pt idx="36">
                  <c:v>0.679988977743056</c:v>
                </c:pt>
                <c:pt idx="37">
                  <c:v>0.702643812382399</c:v>
                </c:pt>
                <c:pt idx="38">
                  <c:v>0.725297925479551</c:v>
                </c:pt>
                <c:pt idx="39">
                  <c:v>0.747951315711931</c:v>
                </c:pt>
                <c:pt idx="40">
                  <c:v>0.770603981762942</c:v>
                </c:pt>
                <c:pt idx="41">
                  <c:v>0.793255922322042</c:v>
                </c:pt>
                <c:pt idx="42">
                  <c:v>0.815907136084817</c:v>
                </c:pt>
                <c:pt idx="43">
                  <c:v>0.838557621753062</c:v>
                </c:pt>
                <c:pt idx="44">
                  <c:v>0.861207378034846</c:v>
                </c:pt>
                <c:pt idx="45">
                  <c:v>0.883856403644594</c:v>
                </c:pt>
                <c:pt idx="46">
                  <c:v>0.906504697303156</c:v>
                </c:pt>
                <c:pt idx="47">
                  <c:v>0.929152257737882</c:v>
                </c:pt>
                <c:pt idx="48">
                  <c:v>0.951799083682697</c:v>
                </c:pt>
                <c:pt idx="49">
                  <c:v>0.974445173878173</c:v>
                </c:pt>
                <c:pt idx="50">
                  <c:v>0.997090527071606</c:v>
                </c:pt>
                <c:pt idx="51">
                  <c:v>1.01973514201709</c:v>
                </c:pt>
                <c:pt idx="52">
                  <c:v>1.04237901747557</c:v>
                </c:pt>
                <c:pt idx="53">
                  <c:v>1.06502215221496</c:v>
                </c:pt>
                <c:pt idx="54">
                  <c:v>1.08766454501017</c:v>
                </c:pt>
                <c:pt idx="55">
                  <c:v>1.11030619464321</c:v>
                </c:pt>
                <c:pt idx="56">
                  <c:v>1.13294709990325</c:v>
                </c:pt>
                <c:pt idx="57">
                  <c:v>1.15558725958668</c:v>
                </c:pt>
                <c:pt idx="58">
                  <c:v>1.17822667249721</c:v>
                </c:pt>
                <c:pt idx="59">
                  <c:v>1.20086533744594</c:v>
                </c:pt>
                <c:pt idx="60">
                  <c:v>1.2235032532514</c:v>
                </c:pt>
                <c:pt idx="61">
                  <c:v>1.24614041873965</c:v>
                </c:pt>
                <c:pt idx="62">
                  <c:v>1.26877683274437</c:v>
                </c:pt>
                <c:pt idx="63">
                  <c:v>1.29141249410686</c:v>
                </c:pt>
                <c:pt idx="64">
                  <c:v>1.31404740167622</c:v>
                </c:pt>
                <c:pt idx="65">
                  <c:v>1.33668155430931</c:v>
                </c:pt>
                <c:pt idx="66">
                  <c:v>1.35931495087089</c:v>
                </c:pt>
                <c:pt idx="67">
                  <c:v>1.38194759023368</c:v>
                </c:pt>
                <c:pt idx="68">
                  <c:v>1.40457947127842</c:v>
                </c:pt>
                <c:pt idx="69">
                  <c:v>1.42721059289393</c:v>
                </c:pt>
                <c:pt idx="70">
                  <c:v>1.44984095397722</c:v>
                </c:pt>
                <c:pt idx="71">
                  <c:v>1.47247055343351</c:v>
                </c:pt>
                <c:pt idx="72">
                  <c:v>1.49509939017634</c:v>
                </c:pt>
                <c:pt idx="73">
                  <c:v>1.51772746312761</c:v>
                </c:pt>
                <c:pt idx="74">
                  <c:v>1.54035477121766</c:v>
                </c:pt>
                <c:pt idx="75">
                  <c:v>1.56298131338536</c:v>
                </c:pt>
                <c:pt idx="76">
                  <c:v>1.58560708857814</c:v>
                </c:pt>
                <c:pt idx="77">
                  <c:v>1.60823209575209</c:v>
                </c:pt>
                <c:pt idx="78">
                  <c:v>1.63085633387199</c:v>
                </c:pt>
                <c:pt idx="79">
                  <c:v>1.65347980191142</c:v>
                </c:pt>
                <c:pt idx="80">
                  <c:v>1.67610249885282</c:v>
                </c:pt>
                <c:pt idx="81">
                  <c:v>1.69872442368752</c:v>
                </c:pt>
                <c:pt idx="82">
                  <c:v>1.72134557541583</c:v>
                </c:pt>
                <c:pt idx="83">
                  <c:v>1.74396595304714</c:v>
                </c:pt>
                <c:pt idx="84">
                  <c:v>1.76658555559992</c:v>
                </c:pt>
                <c:pt idx="85">
                  <c:v>1.78920438210182</c:v>
                </c:pt>
                <c:pt idx="86">
                  <c:v>1.81182243158974</c:v>
                </c:pt>
                <c:pt idx="87">
                  <c:v>1.83443970310989</c:v>
                </c:pt>
                <c:pt idx="88">
                  <c:v>1.85705619571784</c:v>
                </c:pt>
                <c:pt idx="89">
                  <c:v>1.87967190847859</c:v>
                </c:pt>
                <c:pt idx="90">
                  <c:v>1.90228684046665</c:v>
                </c:pt>
                <c:pt idx="91">
                  <c:v>1.92490099076607</c:v>
                </c:pt>
                <c:pt idx="92">
                  <c:v>1.94751435847052</c:v>
                </c:pt>
                <c:pt idx="93">
                  <c:v>1.97012694268337</c:v>
                </c:pt>
                <c:pt idx="94">
                  <c:v>1.99273874251771</c:v>
                </c:pt>
                <c:pt idx="95">
                  <c:v>2.01534975709644</c:v>
                </c:pt>
                <c:pt idx="96">
                  <c:v>2.03795998555233</c:v>
                </c:pt>
                <c:pt idx="97">
                  <c:v>2.06056942702805</c:v>
                </c:pt>
                <c:pt idx="98">
                  <c:v>2.08317808067627</c:v>
                </c:pt>
                <c:pt idx="99">
                  <c:v>2.10578594565969</c:v>
                </c:pt>
                <c:pt idx="100">
                  <c:v>2.12839302115111</c:v>
                </c:pt>
                <c:pt idx="101">
                  <c:v>2.15099930633346</c:v>
                </c:pt>
                <c:pt idx="102">
                  <c:v>2.1736048003999</c:v>
                </c:pt>
                <c:pt idx="103">
                  <c:v>2.19620950255387</c:v>
                </c:pt>
                <c:pt idx="104">
                  <c:v>2.2188134120091</c:v>
                </c:pt>
                <c:pt idx="105">
                  <c:v>2.2414165279897</c:v>
                </c:pt>
                <c:pt idx="106">
                  <c:v>2.26401884973022</c:v>
                </c:pt>
                <c:pt idx="107">
                  <c:v>2.28662037647569</c:v>
                </c:pt>
                <c:pt idx="108">
                  <c:v>2.30922110748168</c:v>
                </c:pt>
                <c:pt idx="109">
                  <c:v>2.33182104201434</c:v>
                </c:pt>
                <c:pt idx="110">
                  <c:v>2.35442017935046</c:v>
                </c:pt>
                <c:pt idx="111">
                  <c:v>2.37701851877753</c:v>
                </c:pt>
                <c:pt idx="112">
                  <c:v>2.39961605959377</c:v>
                </c:pt>
                <c:pt idx="113">
                  <c:v>2.42221280110819</c:v>
                </c:pt>
                <c:pt idx="114">
                  <c:v>2.44480874264066</c:v>
                </c:pt>
                <c:pt idx="115">
                  <c:v>2.46740388352192</c:v>
                </c:pt>
                <c:pt idx="116">
                  <c:v>2.48999822309365</c:v>
                </c:pt>
                <c:pt idx="117">
                  <c:v>2.51259176070851</c:v>
                </c:pt>
                <c:pt idx="118">
                  <c:v>2.5351844957302</c:v>
                </c:pt>
                <c:pt idx="119">
                  <c:v>2.55777642753348</c:v>
                </c:pt>
                <c:pt idx="120">
                  <c:v>2.58036755550425</c:v>
                </c:pt>
                <c:pt idx="121">
                  <c:v>2.60295787903956</c:v>
                </c:pt>
                <c:pt idx="122">
                  <c:v>2.62554739754767</c:v>
                </c:pt>
                <c:pt idx="123">
                  <c:v>2.64813611044809</c:v>
                </c:pt>
                <c:pt idx="124">
                  <c:v>2.67072401717162</c:v>
                </c:pt>
                <c:pt idx="125">
                  <c:v>2.6933111171604</c:v>
                </c:pt>
                <c:pt idx="126">
                  <c:v>2.71589740986795</c:v>
                </c:pt>
                <c:pt idx="127">
                  <c:v>2.73848289475918</c:v>
                </c:pt>
                <c:pt idx="128">
                  <c:v>2.76106757131048</c:v>
                </c:pt>
                <c:pt idx="129">
                  <c:v>2.78365143900971</c:v>
                </c:pt>
                <c:pt idx="130">
                  <c:v>2.80623449735627</c:v>
                </c:pt>
                <c:pt idx="131">
                  <c:v>2.82881674586112</c:v>
                </c:pt>
                <c:pt idx="132">
                  <c:v>2.85139818404682</c:v>
                </c:pt>
                <c:pt idx="133">
                  <c:v>2.87397881144756</c:v>
                </c:pt>
                <c:pt idx="134">
                  <c:v>2.89655862760922</c:v>
                </c:pt>
                <c:pt idx="135">
                  <c:v>2.91913763208937</c:v>
                </c:pt>
                <c:pt idx="136">
                  <c:v>2.9417158244573</c:v>
                </c:pt>
                <c:pt idx="137">
                  <c:v>2.96429320429409</c:v>
                </c:pt>
                <c:pt idx="138">
                  <c:v>2.98686977119261</c:v>
                </c:pt>
                <c:pt idx="139">
                  <c:v>3.00944552475756</c:v>
                </c:pt>
                <c:pt idx="140">
                  <c:v>3.03202046460549</c:v>
                </c:pt>
                <c:pt idx="141">
                  <c:v>3.05459459036485</c:v>
                </c:pt>
                <c:pt idx="142">
                  <c:v>3.07716790167599</c:v>
                </c:pt>
                <c:pt idx="143">
                  <c:v>3.0997403981912</c:v>
                </c:pt>
                <c:pt idx="144">
                  <c:v>3.12231207957474</c:v>
                </c:pt>
                <c:pt idx="145">
                  <c:v>3.14488294550287</c:v>
                </c:pt>
                <c:pt idx="146">
                  <c:v>3.16745299566384</c:v>
                </c:pt>
                <c:pt idx="147">
                  <c:v>3.19002222975796</c:v>
                </c:pt>
                <c:pt idx="148">
                  <c:v>3.2125906474976</c:v>
                </c:pt>
                <c:pt idx="149">
                  <c:v>3.23515824860719</c:v>
                </c:pt>
                <c:pt idx="150">
                  <c:v>3.25772503282329</c:v>
                </c:pt>
                <c:pt idx="151">
                  <c:v>3.28029099989456</c:v>
                </c:pt>
                <c:pt idx="152">
                  <c:v>3.3028561495818</c:v>
                </c:pt>
                <c:pt idx="153">
                  <c:v>3.325420481658</c:v>
                </c:pt>
                <c:pt idx="154">
                  <c:v>3.34798399590828</c:v>
                </c:pt>
                <c:pt idx="155">
                  <c:v>3.37054669212999</c:v>
                </c:pt>
                <c:pt idx="156">
                  <c:v>3.39310857013265</c:v>
                </c:pt>
                <c:pt idx="157">
                  <c:v>3.41566962973804</c:v>
                </c:pt>
                <c:pt idx="158">
                  <c:v>3.43822987078015</c:v>
                </c:pt>
                <c:pt idx="159">
                  <c:v>3.46078929310522</c:v>
                </c:pt>
                <c:pt idx="160">
                  <c:v>3.48334789657175</c:v>
                </c:pt>
                <c:pt idx="161">
                  <c:v>3.5059056810505</c:v>
                </c:pt>
                <c:pt idx="162">
                  <c:v>3.52846264642454</c:v>
                </c:pt>
                <c:pt idx="163">
                  <c:v>3.55101879258918</c:v>
                </c:pt>
                <c:pt idx="164">
                  <c:v>3.57357411945206</c:v>
                </c:pt>
                <c:pt idx="165">
                  <c:v>3.59612862693311</c:v>
                </c:pt>
                <c:pt idx="166">
                  <c:v>3.61868231496457</c:v>
                </c:pt>
                <c:pt idx="167">
                  <c:v>3.64123518349099</c:v>
                </c:pt>
                <c:pt idx="168">
                  <c:v>3.66378723246924</c:v>
                </c:pt>
                <c:pt idx="169">
                  <c:v>3.68633846186852</c:v>
                </c:pt>
                <c:pt idx="170">
                  <c:v>3.70888887167033</c:v>
                </c:pt>
                <c:pt idx="171">
                  <c:v>3.73143846186852</c:v>
                </c:pt>
                <c:pt idx="172">
                  <c:v>3.75398723246924</c:v>
                </c:pt>
                <c:pt idx="173">
                  <c:v>3.77653518349099</c:v>
                </c:pt>
                <c:pt idx="174">
                  <c:v>3.79908231496457</c:v>
                </c:pt>
                <c:pt idx="175">
                  <c:v>3.82162862693311</c:v>
                </c:pt>
                <c:pt idx="176">
                  <c:v>3.84417411945206</c:v>
                </c:pt>
                <c:pt idx="177">
                  <c:v>3.86671879258918</c:v>
                </c:pt>
                <c:pt idx="178">
                  <c:v>3.88926264642454</c:v>
                </c:pt>
                <c:pt idx="179">
                  <c:v>3.9118056810505</c:v>
                </c:pt>
                <c:pt idx="180">
                  <c:v>3.93434789657175</c:v>
                </c:pt>
                <c:pt idx="181">
                  <c:v>3.95688929310522</c:v>
                </c:pt>
                <c:pt idx="182">
                  <c:v>3.97942987078015</c:v>
                </c:pt>
                <c:pt idx="183">
                  <c:v>4.00196962973804</c:v>
                </c:pt>
                <c:pt idx="184">
                  <c:v>4.02450857013265</c:v>
                </c:pt>
                <c:pt idx="185">
                  <c:v>4.04704669212999</c:v>
                </c:pt>
                <c:pt idx="186">
                  <c:v>4.06958399590828</c:v>
                </c:pt>
                <c:pt idx="187">
                  <c:v>4.092120481658</c:v>
                </c:pt>
                <c:pt idx="188">
                  <c:v>4.1146561495818</c:v>
                </c:pt>
                <c:pt idx="189">
                  <c:v>4.13719099989456</c:v>
                </c:pt>
                <c:pt idx="190">
                  <c:v>4.15972503282329</c:v>
                </c:pt>
                <c:pt idx="191">
                  <c:v>4.18225824860719</c:v>
                </c:pt>
                <c:pt idx="192">
                  <c:v>4.2047906474976</c:v>
                </c:pt>
                <c:pt idx="193">
                  <c:v>4.22732222975796</c:v>
                </c:pt>
                <c:pt idx="194">
                  <c:v>4.24985299566384</c:v>
                </c:pt>
                <c:pt idx="195">
                  <c:v>4.27238294550286</c:v>
                </c:pt>
                <c:pt idx="196">
                  <c:v>4.29491207957474</c:v>
                </c:pt>
                <c:pt idx="197">
                  <c:v>4.3174403981912</c:v>
                </c:pt>
                <c:pt idx="198">
                  <c:v>4.33996790167599</c:v>
                </c:pt>
                <c:pt idx="199">
                  <c:v>4.36249459036485</c:v>
                </c:pt>
                <c:pt idx="200">
                  <c:v>4.38502046460549</c:v>
                </c:pt>
                <c:pt idx="201">
                  <c:v>4.40754552475756</c:v>
                </c:pt>
                <c:pt idx="202">
                  <c:v>4.43006977119261</c:v>
                </c:pt>
                <c:pt idx="203">
                  <c:v>4.45259320429409</c:v>
                </c:pt>
                <c:pt idx="204">
                  <c:v>4.4751158244573</c:v>
                </c:pt>
                <c:pt idx="205">
                  <c:v>4.49763763208937</c:v>
                </c:pt>
                <c:pt idx="206">
                  <c:v>4.52015862760922</c:v>
                </c:pt>
                <c:pt idx="207">
                  <c:v>4.54267881144756</c:v>
                </c:pt>
                <c:pt idx="208">
                  <c:v>4.56519818404682</c:v>
                </c:pt>
                <c:pt idx="209">
                  <c:v>4.58771674586112</c:v>
                </c:pt>
                <c:pt idx="210">
                  <c:v>4.61023449735627</c:v>
                </c:pt>
                <c:pt idx="211">
                  <c:v>4.63275143900971</c:v>
                </c:pt>
                <c:pt idx="212">
                  <c:v>4.65526757131048</c:v>
                </c:pt>
                <c:pt idx="213">
                  <c:v>4.67778289475918</c:v>
                </c:pt>
                <c:pt idx="214">
                  <c:v>4.70029740986795</c:v>
                </c:pt>
                <c:pt idx="215">
                  <c:v>4.7228111171604</c:v>
                </c:pt>
                <c:pt idx="216">
                  <c:v>4.74532401717162</c:v>
                </c:pt>
                <c:pt idx="217">
                  <c:v>4.76783611044809</c:v>
                </c:pt>
                <c:pt idx="218">
                  <c:v>4.79034739754767</c:v>
                </c:pt>
                <c:pt idx="219">
                  <c:v>4.81285787903956</c:v>
                </c:pt>
                <c:pt idx="220">
                  <c:v>4.83536755550425</c:v>
                </c:pt>
                <c:pt idx="221">
                  <c:v>4.85787642753348</c:v>
                </c:pt>
                <c:pt idx="222">
                  <c:v>4.8803844957302</c:v>
                </c:pt>
                <c:pt idx="223">
                  <c:v>4.90289176070851</c:v>
                </c:pt>
                <c:pt idx="224">
                  <c:v>4.92539822309365</c:v>
                </c:pt>
                <c:pt idx="225">
                  <c:v>4.94790388352192</c:v>
                </c:pt>
                <c:pt idx="226">
                  <c:v>4.97040874264066</c:v>
                </c:pt>
                <c:pt idx="227">
                  <c:v>4.99291280110819</c:v>
                </c:pt>
                <c:pt idx="228">
                  <c:v>5.01541605959377</c:v>
                </c:pt>
                <c:pt idx="229">
                  <c:v>5.03791851877753</c:v>
                </c:pt>
                <c:pt idx="230">
                  <c:v>5.06042017935046</c:v>
                </c:pt>
                <c:pt idx="231">
                  <c:v>5.08292104201434</c:v>
                </c:pt>
                <c:pt idx="232">
                  <c:v>5.10542110748168</c:v>
                </c:pt>
                <c:pt idx="233">
                  <c:v>5.12792037647569</c:v>
                </c:pt>
                <c:pt idx="234">
                  <c:v>5.15041884973022</c:v>
                </c:pt>
                <c:pt idx="235">
                  <c:v>5.1729165279897</c:v>
                </c:pt>
                <c:pt idx="236">
                  <c:v>5.19541341200909</c:v>
                </c:pt>
                <c:pt idx="237">
                  <c:v>5.21790950255387</c:v>
                </c:pt>
                <c:pt idx="238">
                  <c:v>5.24040480039991</c:v>
                </c:pt>
                <c:pt idx="239">
                  <c:v>5.26289930633346</c:v>
                </c:pt>
                <c:pt idx="240">
                  <c:v>5.28539302115111</c:v>
                </c:pt>
                <c:pt idx="241">
                  <c:v>5.30788594565969</c:v>
                </c:pt>
                <c:pt idx="242">
                  <c:v>5.33037808067627</c:v>
                </c:pt>
                <c:pt idx="243">
                  <c:v>5.35286942702805</c:v>
                </c:pt>
                <c:pt idx="244">
                  <c:v>5.37535998555233</c:v>
                </c:pt>
                <c:pt idx="245">
                  <c:v>5.39784975709644</c:v>
                </c:pt>
                <c:pt idx="246">
                  <c:v>5.42033874251771</c:v>
                </c:pt>
                <c:pt idx="247">
                  <c:v>5.44282694268337</c:v>
                </c:pt>
                <c:pt idx="248">
                  <c:v>5.46531435847052</c:v>
                </c:pt>
                <c:pt idx="249">
                  <c:v>5.48780099076607</c:v>
                </c:pt>
                <c:pt idx="250">
                  <c:v>5.51028684046665</c:v>
                </c:pt>
                <c:pt idx="251">
                  <c:v>5.5327719084786</c:v>
                </c:pt>
                <c:pt idx="252">
                  <c:v>5.55525619571784</c:v>
                </c:pt>
                <c:pt idx="253">
                  <c:v>5.57773970310989</c:v>
                </c:pt>
                <c:pt idx="254">
                  <c:v>5.60022243158974</c:v>
                </c:pt>
                <c:pt idx="255">
                  <c:v>5.62270438210182</c:v>
                </c:pt>
                <c:pt idx="256">
                  <c:v>5.64518555559992</c:v>
                </c:pt>
                <c:pt idx="257">
                  <c:v>5.66766595304714</c:v>
                </c:pt>
                <c:pt idx="258">
                  <c:v>5.69014557541583</c:v>
                </c:pt>
                <c:pt idx="259">
                  <c:v>5.71262442368752</c:v>
                </c:pt>
                <c:pt idx="260">
                  <c:v>5.73510249885282</c:v>
                </c:pt>
                <c:pt idx="261">
                  <c:v>5.75757980191142</c:v>
                </c:pt>
                <c:pt idx="262">
                  <c:v>5.78005633387199</c:v>
                </c:pt>
                <c:pt idx="263">
                  <c:v>5.80253209575209</c:v>
                </c:pt>
                <c:pt idx="264">
                  <c:v>5.82500708857814</c:v>
                </c:pt>
                <c:pt idx="265">
                  <c:v>5.84748131338536</c:v>
                </c:pt>
                <c:pt idx="266">
                  <c:v>5.86995477121766</c:v>
                </c:pt>
                <c:pt idx="267">
                  <c:v>5.89242746312761</c:v>
                </c:pt>
                <c:pt idx="268">
                  <c:v>5.91489939017634</c:v>
                </c:pt>
                <c:pt idx="269">
                  <c:v>5.93737055343351</c:v>
                </c:pt>
                <c:pt idx="270">
                  <c:v>5.95984095397722</c:v>
                </c:pt>
                <c:pt idx="271">
                  <c:v>5.98231059289393</c:v>
                </c:pt>
                <c:pt idx="272">
                  <c:v>6.00477947127842</c:v>
                </c:pt>
                <c:pt idx="273">
                  <c:v>6.02724759023368</c:v>
                </c:pt>
                <c:pt idx="274">
                  <c:v>6.04971495087089</c:v>
                </c:pt>
                <c:pt idx="275">
                  <c:v>6.07218155430931</c:v>
                </c:pt>
                <c:pt idx="276">
                  <c:v>6.09464740167622</c:v>
                </c:pt>
                <c:pt idx="277">
                  <c:v>6.11711249410686</c:v>
                </c:pt>
                <c:pt idx="278">
                  <c:v>6.13957683274437</c:v>
                </c:pt>
                <c:pt idx="279">
                  <c:v>6.16204041873965</c:v>
                </c:pt>
                <c:pt idx="280">
                  <c:v>6.1845032532514</c:v>
                </c:pt>
                <c:pt idx="281">
                  <c:v>6.20696533744594</c:v>
                </c:pt>
                <c:pt idx="282">
                  <c:v>6.22942667249721</c:v>
                </c:pt>
                <c:pt idx="283">
                  <c:v>6.25188725958668</c:v>
                </c:pt>
                <c:pt idx="284">
                  <c:v>6.27434709990325</c:v>
                </c:pt>
                <c:pt idx="285">
                  <c:v>6.29680619464321</c:v>
                </c:pt>
                <c:pt idx="286">
                  <c:v>6.31926454501017</c:v>
                </c:pt>
                <c:pt idx="287">
                  <c:v>6.34172215221496</c:v>
                </c:pt>
                <c:pt idx="288">
                  <c:v>6.36417901747557</c:v>
                </c:pt>
                <c:pt idx="289">
                  <c:v>6.38663514201708</c:v>
                </c:pt>
                <c:pt idx="290">
                  <c:v>6.40909052707161</c:v>
                </c:pt>
                <c:pt idx="291">
                  <c:v>6.43154517387817</c:v>
                </c:pt>
                <c:pt idx="292">
                  <c:v>6.4539990836827</c:v>
                </c:pt>
                <c:pt idx="293">
                  <c:v>6.47645225773788</c:v>
                </c:pt>
                <c:pt idx="294">
                  <c:v>6.49890469730316</c:v>
                </c:pt>
                <c:pt idx="295">
                  <c:v>6.52135640364459</c:v>
                </c:pt>
                <c:pt idx="296">
                  <c:v>6.54380737803485</c:v>
                </c:pt>
                <c:pt idx="297">
                  <c:v>6.56625762175306</c:v>
                </c:pt>
                <c:pt idx="298">
                  <c:v>6.58870713608482</c:v>
                </c:pt>
                <c:pt idx="299">
                  <c:v>6.61115592232204</c:v>
                </c:pt>
                <c:pt idx="300">
                  <c:v>6.63360398176294</c:v>
                </c:pt>
                <c:pt idx="301">
                  <c:v>6.65605131571193</c:v>
                </c:pt>
                <c:pt idx="302">
                  <c:v>6.67849792547955</c:v>
                </c:pt>
                <c:pt idx="303">
                  <c:v>6.7009438123824</c:v>
                </c:pt>
                <c:pt idx="304">
                  <c:v>6.72338897774306</c:v>
                </c:pt>
                <c:pt idx="305">
                  <c:v>6.74583342289001</c:v>
                </c:pt>
                <c:pt idx="306">
                  <c:v>6.76827714915759</c:v>
                </c:pt>
                <c:pt idx="307">
                  <c:v>6.79072015788587</c:v>
                </c:pt>
                <c:pt idx="308">
                  <c:v>6.81316245042061</c:v>
                </c:pt>
                <c:pt idx="309">
                  <c:v>6.83560402811321</c:v>
                </c:pt>
                <c:pt idx="310">
                  <c:v>6.85804489232057</c:v>
                </c:pt>
                <c:pt idx="311">
                  <c:v>6.88048504440507</c:v>
                </c:pt>
                <c:pt idx="312">
                  <c:v>6.90292448573448</c:v>
                </c:pt>
                <c:pt idx="313">
                  <c:v>6.92536321768189</c:v>
                </c:pt>
                <c:pt idx="314">
                  <c:v>6.94780124162563</c:v>
                </c:pt>
                <c:pt idx="315">
                  <c:v>6.97023855894918</c:v>
                </c:pt>
                <c:pt idx="316">
                  <c:v>6.99267517104113</c:v>
                </c:pt>
                <c:pt idx="317">
                  <c:v>7.01511107929509</c:v>
                </c:pt>
                <c:pt idx="318">
                  <c:v>7.03754628510963</c:v>
                </c:pt>
                <c:pt idx="319">
                  <c:v>7.05998078988815</c:v>
                </c:pt>
                <c:pt idx="320">
                  <c:v>7.0824145950389</c:v>
                </c:pt>
                <c:pt idx="321">
                  <c:v>7.10484770197484</c:v>
                </c:pt>
                <c:pt idx="322">
                  <c:v>7.12728011211356</c:v>
                </c:pt>
                <c:pt idx="323">
                  <c:v>7.14971182687726</c:v>
                </c:pt>
                <c:pt idx="324">
                  <c:v>7.17214284769264</c:v>
                </c:pt>
                <c:pt idx="325">
                  <c:v>7.19457317599084</c:v>
                </c:pt>
                <c:pt idx="326">
                  <c:v>7.21700281320735</c:v>
                </c:pt>
                <c:pt idx="327">
                  <c:v>7.23943176078196</c:v>
                </c:pt>
                <c:pt idx="328">
                  <c:v>7.26186002015867</c:v>
                </c:pt>
                <c:pt idx="329">
                  <c:v>7.28428759278565</c:v>
                </c:pt>
                <c:pt idx="330">
                  <c:v>7.30671448011511</c:v>
                </c:pt>
                <c:pt idx="331">
                  <c:v>7.32914068360329</c:v>
                </c:pt>
                <c:pt idx="332">
                  <c:v>7.35156620471035</c:v>
                </c:pt>
                <c:pt idx="333">
                  <c:v>7.37399104490031</c:v>
                </c:pt>
                <c:pt idx="334">
                  <c:v>7.39641520564098</c:v>
                </c:pt>
                <c:pt idx="335">
                  <c:v>7.4188386884039</c:v>
                </c:pt>
                <c:pt idx="336">
                  <c:v>7.44126149466423</c:v>
                </c:pt>
                <c:pt idx="337">
                  <c:v>7.46368362590074</c:v>
                </c:pt>
                <c:pt idx="338">
                  <c:v>7.48610508359568</c:v>
                </c:pt>
                <c:pt idx="339">
                  <c:v>7.50852586923474</c:v>
                </c:pt>
                <c:pt idx="340">
                  <c:v>7.53094598430701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"Ya superior"</c:f>
              <c:strCache>
                <c:ptCount val="1"/>
                <c:pt idx="0">
                  <c:v>Ya superior</c:v>
                </c:pt>
              </c:strCache>
            </c:strRef>
          </c:tx>
          <c:spPr>
            <a:solidFill>
              <a:srgbClr val="98B855"/>
            </a:solidFill>
            <a:ln w="93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'intervalo de confianç'!$A$30:$A$370</c:f>
              <c:numCache>
                <c:formatCode>General</c:formatCode>
                <c:ptCount val="341"/>
                <c:pt idx="0">
                  <c:v>400</c:v>
                </c:pt>
                <c:pt idx="1">
                  <c:v>405</c:v>
                </c:pt>
                <c:pt idx="2">
                  <c:v>410</c:v>
                </c:pt>
                <c:pt idx="3">
                  <c:v>415</c:v>
                </c:pt>
                <c:pt idx="4">
                  <c:v>420</c:v>
                </c:pt>
                <c:pt idx="5">
                  <c:v>425</c:v>
                </c:pt>
                <c:pt idx="6">
                  <c:v>430</c:v>
                </c:pt>
                <c:pt idx="7">
                  <c:v>435</c:v>
                </c:pt>
                <c:pt idx="8">
                  <c:v>440</c:v>
                </c:pt>
                <c:pt idx="9">
                  <c:v>445</c:v>
                </c:pt>
                <c:pt idx="10">
                  <c:v>450</c:v>
                </c:pt>
                <c:pt idx="11">
                  <c:v>455</c:v>
                </c:pt>
                <c:pt idx="12">
                  <c:v>460</c:v>
                </c:pt>
                <c:pt idx="13">
                  <c:v>465</c:v>
                </c:pt>
                <c:pt idx="14">
                  <c:v>470</c:v>
                </c:pt>
                <c:pt idx="15">
                  <c:v>475</c:v>
                </c:pt>
                <c:pt idx="16">
                  <c:v>480</c:v>
                </c:pt>
                <c:pt idx="17">
                  <c:v>485</c:v>
                </c:pt>
                <c:pt idx="18">
                  <c:v>490</c:v>
                </c:pt>
                <c:pt idx="19">
                  <c:v>495</c:v>
                </c:pt>
                <c:pt idx="20">
                  <c:v>500</c:v>
                </c:pt>
                <c:pt idx="21">
                  <c:v>505</c:v>
                </c:pt>
                <c:pt idx="22">
                  <c:v>510</c:v>
                </c:pt>
                <c:pt idx="23">
                  <c:v>515</c:v>
                </c:pt>
                <c:pt idx="24">
                  <c:v>520</c:v>
                </c:pt>
                <c:pt idx="25">
                  <c:v>525</c:v>
                </c:pt>
                <c:pt idx="26">
                  <c:v>530</c:v>
                </c:pt>
                <c:pt idx="27">
                  <c:v>535</c:v>
                </c:pt>
                <c:pt idx="28">
                  <c:v>540</c:v>
                </c:pt>
                <c:pt idx="29">
                  <c:v>545</c:v>
                </c:pt>
                <c:pt idx="30">
                  <c:v>550</c:v>
                </c:pt>
                <c:pt idx="31">
                  <c:v>555</c:v>
                </c:pt>
                <c:pt idx="32">
                  <c:v>560</c:v>
                </c:pt>
                <c:pt idx="33">
                  <c:v>565</c:v>
                </c:pt>
                <c:pt idx="34">
                  <c:v>570</c:v>
                </c:pt>
                <c:pt idx="35">
                  <c:v>575</c:v>
                </c:pt>
                <c:pt idx="36">
                  <c:v>580</c:v>
                </c:pt>
                <c:pt idx="37">
                  <c:v>585</c:v>
                </c:pt>
                <c:pt idx="38">
                  <c:v>590</c:v>
                </c:pt>
                <c:pt idx="39">
                  <c:v>595</c:v>
                </c:pt>
                <c:pt idx="40">
                  <c:v>600</c:v>
                </c:pt>
                <c:pt idx="41">
                  <c:v>605</c:v>
                </c:pt>
                <c:pt idx="42">
                  <c:v>610</c:v>
                </c:pt>
                <c:pt idx="43">
                  <c:v>615</c:v>
                </c:pt>
                <c:pt idx="44">
                  <c:v>620</c:v>
                </c:pt>
                <c:pt idx="45">
                  <c:v>625</c:v>
                </c:pt>
                <c:pt idx="46">
                  <c:v>630</c:v>
                </c:pt>
                <c:pt idx="47">
                  <c:v>635</c:v>
                </c:pt>
                <c:pt idx="48">
                  <c:v>640</c:v>
                </c:pt>
                <c:pt idx="49">
                  <c:v>645</c:v>
                </c:pt>
                <c:pt idx="50">
                  <c:v>650</c:v>
                </c:pt>
                <c:pt idx="51">
                  <c:v>655</c:v>
                </c:pt>
                <c:pt idx="52">
                  <c:v>660</c:v>
                </c:pt>
                <c:pt idx="53">
                  <c:v>665</c:v>
                </c:pt>
                <c:pt idx="54">
                  <c:v>670</c:v>
                </c:pt>
                <c:pt idx="55">
                  <c:v>675</c:v>
                </c:pt>
                <c:pt idx="56">
                  <c:v>680</c:v>
                </c:pt>
                <c:pt idx="57">
                  <c:v>685</c:v>
                </c:pt>
                <c:pt idx="58">
                  <c:v>690</c:v>
                </c:pt>
                <c:pt idx="59">
                  <c:v>695</c:v>
                </c:pt>
                <c:pt idx="60">
                  <c:v>700</c:v>
                </c:pt>
                <c:pt idx="61">
                  <c:v>705</c:v>
                </c:pt>
                <c:pt idx="62">
                  <c:v>710</c:v>
                </c:pt>
                <c:pt idx="63">
                  <c:v>715</c:v>
                </c:pt>
                <c:pt idx="64">
                  <c:v>720</c:v>
                </c:pt>
                <c:pt idx="65">
                  <c:v>725</c:v>
                </c:pt>
                <c:pt idx="66">
                  <c:v>730</c:v>
                </c:pt>
                <c:pt idx="67">
                  <c:v>735</c:v>
                </c:pt>
                <c:pt idx="68">
                  <c:v>740</c:v>
                </c:pt>
                <c:pt idx="69">
                  <c:v>745</c:v>
                </c:pt>
                <c:pt idx="70">
                  <c:v>750</c:v>
                </c:pt>
                <c:pt idx="71">
                  <c:v>755</c:v>
                </c:pt>
                <c:pt idx="72">
                  <c:v>760</c:v>
                </c:pt>
                <c:pt idx="73">
                  <c:v>765</c:v>
                </c:pt>
                <c:pt idx="74">
                  <c:v>770</c:v>
                </c:pt>
                <c:pt idx="75">
                  <c:v>775</c:v>
                </c:pt>
                <c:pt idx="76">
                  <c:v>780</c:v>
                </c:pt>
                <c:pt idx="77">
                  <c:v>785</c:v>
                </c:pt>
                <c:pt idx="78">
                  <c:v>790</c:v>
                </c:pt>
                <c:pt idx="79">
                  <c:v>795</c:v>
                </c:pt>
                <c:pt idx="80">
                  <c:v>800</c:v>
                </c:pt>
                <c:pt idx="81">
                  <c:v>805</c:v>
                </c:pt>
                <c:pt idx="82">
                  <c:v>810</c:v>
                </c:pt>
                <c:pt idx="83">
                  <c:v>815</c:v>
                </c:pt>
                <c:pt idx="84">
                  <c:v>820</c:v>
                </c:pt>
                <c:pt idx="85">
                  <c:v>825</c:v>
                </c:pt>
                <c:pt idx="86">
                  <c:v>830</c:v>
                </c:pt>
                <c:pt idx="87">
                  <c:v>835</c:v>
                </c:pt>
                <c:pt idx="88">
                  <c:v>840</c:v>
                </c:pt>
                <c:pt idx="89">
                  <c:v>845</c:v>
                </c:pt>
                <c:pt idx="90">
                  <c:v>850</c:v>
                </c:pt>
                <c:pt idx="91">
                  <c:v>855</c:v>
                </c:pt>
                <c:pt idx="92">
                  <c:v>860</c:v>
                </c:pt>
                <c:pt idx="93">
                  <c:v>865</c:v>
                </c:pt>
                <c:pt idx="94">
                  <c:v>870</c:v>
                </c:pt>
                <c:pt idx="95">
                  <c:v>875</c:v>
                </c:pt>
                <c:pt idx="96">
                  <c:v>880</c:v>
                </c:pt>
                <c:pt idx="97">
                  <c:v>885</c:v>
                </c:pt>
                <c:pt idx="98">
                  <c:v>890</c:v>
                </c:pt>
                <c:pt idx="99">
                  <c:v>895</c:v>
                </c:pt>
                <c:pt idx="100">
                  <c:v>900</c:v>
                </c:pt>
                <c:pt idx="101">
                  <c:v>905</c:v>
                </c:pt>
                <c:pt idx="102">
                  <c:v>910</c:v>
                </c:pt>
                <c:pt idx="103">
                  <c:v>915</c:v>
                </c:pt>
                <c:pt idx="104">
                  <c:v>920</c:v>
                </c:pt>
                <c:pt idx="105">
                  <c:v>925</c:v>
                </c:pt>
                <c:pt idx="106">
                  <c:v>930</c:v>
                </c:pt>
                <c:pt idx="107">
                  <c:v>935</c:v>
                </c:pt>
                <c:pt idx="108">
                  <c:v>940</c:v>
                </c:pt>
                <c:pt idx="109">
                  <c:v>945</c:v>
                </c:pt>
                <c:pt idx="110">
                  <c:v>950</c:v>
                </c:pt>
                <c:pt idx="111">
                  <c:v>955</c:v>
                </c:pt>
                <c:pt idx="112">
                  <c:v>960</c:v>
                </c:pt>
                <c:pt idx="113">
                  <c:v>965</c:v>
                </c:pt>
                <c:pt idx="114">
                  <c:v>970</c:v>
                </c:pt>
                <c:pt idx="115">
                  <c:v>975</c:v>
                </c:pt>
                <c:pt idx="116">
                  <c:v>980</c:v>
                </c:pt>
                <c:pt idx="117">
                  <c:v>985</c:v>
                </c:pt>
                <c:pt idx="118">
                  <c:v>990</c:v>
                </c:pt>
                <c:pt idx="119">
                  <c:v>995</c:v>
                </c:pt>
                <c:pt idx="120">
                  <c:v>1000</c:v>
                </c:pt>
                <c:pt idx="121">
                  <c:v>1005</c:v>
                </c:pt>
                <c:pt idx="122">
                  <c:v>1010</c:v>
                </c:pt>
                <c:pt idx="123">
                  <c:v>1015</c:v>
                </c:pt>
                <c:pt idx="124">
                  <c:v>1020</c:v>
                </c:pt>
                <c:pt idx="125">
                  <c:v>1025</c:v>
                </c:pt>
                <c:pt idx="126">
                  <c:v>1030</c:v>
                </c:pt>
                <c:pt idx="127">
                  <c:v>1035</c:v>
                </c:pt>
                <c:pt idx="128">
                  <c:v>1040</c:v>
                </c:pt>
                <c:pt idx="129">
                  <c:v>1045</c:v>
                </c:pt>
                <c:pt idx="130">
                  <c:v>1050</c:v>
                </c:pt>
                <c:pt idx="131">
                  <c:v>1055</c:v>
                </c:pt>
                <c:pt idx="132">
                  <c:v>1060</c:v>
                </c:pt>
                <c:pt idx="133">
                  <c:v>1065</c:v>
                </c:pt>
                <c:pt idx="134">
                  <c:v>1070</c:v>
                </c:pt>
                <c:pt idx="135">
                  <c:v>1075</c:v>
                </c:pt>
                <c:pt idx="136">
                  <c:v>1080</c:v>
                </c:pt>
                <c:pt idx="137">
                  <c:v>1085</c:v>
                </c:pt>
                <c:pt idx="138">
                  <c:v>1090</c:v>
                </c:pt>
                <c:pt idx="139">
                  <c:v>1095</c:v>
                </c:pt>
                <c:pt idx="140">
                  <c:v>1100</c:v>
                </c:pt>
                <c:pt idx="141">
                  <c:v>1105</c:v>
                </c:pt>
                <c:pt idx="142">
                  <c:v>1110</c:v>
                </c:pt>
                <c:pt idx="143">
                  <c:v>1115</c:v>
                </c:pt>
                <c:pt idx="144">
                  <c:v>1120</c:v>
                </c:pt>
                <c:pt idx="145">
                  <c:v>1125</c:v>
                </c:pt>
                <c:pt idx="146">
                  <c:v>1130</c:v>
                </c:pt>
                <c:pt idx="147">
                  <c:v>1135</c:v>
                </c:pt>
                <c:pt idx="148">
                  <c:v>1140</c:v>
                </c:pt>
                <c:pt idx="149">
                  <c:v>1145</c:v>
                </c:pt>
                <c:pt idx="150">
                  <c:v>1150</c:v>
                </c:pt>
                <c:pt idx="151">
                  <c:v>1155</c:v>
                </c:pt>
                <c:pt idx="152">
                  <c:v>1160</c:v>
                </c:pt>
                <c:pt idx="153">
                  <c:v>1165</c:v>
                </c:pt>
                <c:pt idx="154">
                  <c:v>1170</c:v>
                </c:pt>
                <c:pt idx="155">
                  <c:v>1175</c:v>
                </c:pt>
                <c:pt idx="156">
                  <c:v>1180</c:v>
                </c:pt>
                <c:pt idx="157">
                  <c:v>1185</c:v>
                </c:pt>
                <c:pt idx="158">
                  <c:v>1190</c:v>
                </c:pt>
                <c:pt idx="159">
                  <c:v>1195</c:v>
                </c:pt>
                <c:pt idx="160">
                  <c:v>1200</c:v>
                </c:pt>
                <c:pt idx="161">
                  <c:v>1205</c:v>
                </c:pt>
                <c:pt idx="162">
                  <c:v>1210</c:v>
                </c:pt>
                <c:pt idx="163">
                  <c:v>1215</c:v>
                </c:pt>
                <c:pt idx="164">
                  <c:v>1220</c:v>
                </c:pt>
                <c:pt idx="165">
                  <c:v>1225</c:v>
                </c:pt>
                <c:pt idx="166">
                  <c:v>1230</c:v>
                </c:pt>
                <c:pt idx="167">
                  <c:v>1235</c:v>
                </c:pt>
                <c:pt idx="168">
                  <c:v>1240</c:v>
                </c:pt>
                <c:pt idx="169">
                  <c:v>1245</c:v>
                </c:pt>
                <c:pt idx="170">
                  <c:v>1250</c:v>
                </c:pt>
                <c:pt idx="171">
                  <c:v>1255</c:v>
                </c:pt>
                <c:pt idx="172">
                  <c:v>1260</c:v>
                </c:pt>
                <c:pt idx="173">
                  <c:v>1265</c:v>
                </c:pt>
                <c:pt idx="174">
                  <c:v>1270</c:v>
                </c:pt>
                <c:pt idx="175">
                  <c:v>1275</c:v>
                </c:pt>
                <c:pt idx="176">
                  <c:v>1280</c:v>
                </c:pt>
                <c:pt idx="177">
                  <c:v>1285</c:v>
                </c:pt>
                <c:pt idx="178">
                  <c:v>1290</c:v>
                </c:pt>
                <c:pt idx="179">
                  <c:v>1295</c:v>
                </c:pt>
                <c:pt idx="180">
                  <c:v>1300</c:v>
                </c:pt>
                <c:pt idx="181">
                  <c:v>1305</c:v>
                </c:pt>
                <c:pt idx="182">
                  <c:v>1310</c:v>
                </c:pt>
                <c:pt idx="183">
                  <c:v>1315</c:v>
                </c:pt>
                <c:pt idx="184">
                  <c:v>1320</c:v>
                </c:pt>
                <c:pt idx="185">
                  <c:v>1325</c:v>
                </c:pt>
                <c:pt idx="186">
                  <c:v>1330</c:v>
                </c:pt>
                <c:pt idx="187">
                  <c:v>1335</c:v>
                </c:pt>
                <c:pt idx="188">
                  <c:v>1340</c:v>
                </c:pt>
                <c:pt idx="189">
                  <c:v>1345</c:v>
                </c:pt>
                <c:pt idx="190">
                  <c:v>1350</c:v>
                </c:pt>
                <c:pt idx="191">
                  <c:v>1355</c:v>
                </c:pt>
                <c:pt idx="192">
                  <c:v>1360</c:v>
                </c:pt>
                <c:pt idx="193">
                  <c:v>1365</c:v>
                </c:pt>
                <c:pt idx="194">
                  <c:v>1370</c:v>
                </c:pt>
                <c:pt idx="195">
                  <c:v>1375</c:v>
                </c:pt>
                <c:pt idx="196">
                  <c:v>1380</c:v>
                </c:pt>
                <c:pt idx="197">
                  <c:v>1385</c:v>
                </c:pt>
                <c:pt idx="198">
                  <c:v>1390</c:v>
                </c:pt>
                <c:pt idx="199">
                  <c:v>1395</c:v>
                </c:pt>
                <c:pt idx="200">
                  <c:v>1400</c:v>
                </c:pt>
                <c:pt idx="201">
                  <c:v>1405</c:v>
                </c:pt>
                <c:pt idx="202">
                  <c:v>1410</c:v>
                </c:pt>
                <c:pt idx="203">
                  <c:v>1415</c:v>
                </c:pt>
                <c:pt idx="204">
                  <c:v>1420</c:v>
                </c:pt>
                <c:pt idx="205">
                  <c:v>1425</c:v>
                </c:pt>
                <c:pt idx="206">
                  <c:v>1430</c:v>
                </c:pt>
                <c:pt idx="207">
                  <c:v>1435</c:v>
                </c:pt>
                <c:pt idx="208">
                  <c:v>1440</c:v>
                </c:pt>
                <c:pt idx="209">
                  <c:v>1445</c:v>
                </c:pt>
                <c:pt idx="210">
                  <c:v>1450</c:v>
                </c:pt>
                <c:pt idx="211">
                  <c:v>1455</c:v>
                </c:pt>
                <c:pt idx="212">
                  <c:v>1460</c:v>
                </c:pt>
                <c:pt idx="213">
                  <c:v>1465</c:v>
                </c:pt>
                <c:pt idx="214">
                  <c:v>1470</c:v>
                </c:pt>
                <c:pt idx="215">
                  <c:v>1475</c:v>
                </c:pt>
                <c:pt idx="216">
                  <c:v>1480</c:v>
                </c:pt>
                <c:pt idx="217">
                  <c:v>1485</c:v>
                </c:pt>
                <c:pt idx="218">
                  <c:v>1490</c:v>
                </c:pt>
                <c:pt idx="219">
                  <c:v>1495</c:v>
                </c:pt>
                <c:pt idx="220">
                  <c:v>1500</c:v>
                </c:pt>
                <c:pt idx="221">
                  <c:v>1505</c:v>
                </c:pt>
                <c:pt idx="222">
                  <c:v>1510</c:v>
                </c:pt>
                <c:pt idx="223">
                  <c:v>1515</c:v>
                </c:pt>
                <c:pt idx="224">
                  <c:v>1520</c:v>
                </c:pt>
                <c:pt idx="225">
                  <c:v>1525</c:v>
                </c:pt>
                <c:pt idx="226">
                  <c:v>1530</c:v>
                </c:pt>
                <c:pt idx="227">
                  <c:v>1535</c:v>
                </c:pt>
                <c:pt idx="228">
                  <c:v>1540</c:v>
                </c:pt>
                <c:pt idx="229">
                  <c:v>1545</c:v>
                </c:pt>
                <c:pt idx="230">
                  <c:v>1550</c:v>
                </c:pt>
                <c:pt idx="231">
                  <c:v>1555</c:v>
                </c:pt>
                <c:pt idx="232">
                  <c:v>1560</c:v>
                </c:pt>
                <c:pt idx="233">
                  <c:v>1565</c:v>
                </c:pt>
                <c:pt idx="234">
                  <c:v>1570</c:v>
                </c:pt>
                <c:pt idx="235">
                  <c:v>1575</c:v>
                </c:pt>
                <c:pt idx="236">
                  <c:v>1580</c:v>
                </c:pt>
                <c:pt idx="237">
                  <c:v>1585</c:v>
                </c:pt>
                <c:pt idx="238">
                  <c:v>1590</c:v>
                </c:pt>
                <c:pt idx="239">
                  <c:v>1595</c:v>
                </c:pt>
                <c:pt idx="240">
                  <c:v>1600</c:v>
                </c:pt>
                <c:pt idx="241">
                  <c:v>1605</c:v>
                </c:pt>
                <c:pt idx="242">
                  <c:v>1610</c:v>
                </c:pt>
                <c:pt idx="243">
                  <c:v>1615</c:v>
                </c:pt>
                <c:pt idx="244">
                  <c:v>1620</c:v>
                </c:pt>
                <c:pt idx="245">
                  <c:v>1625</c:v>
                </c:pt>
                <c:pt idx="246">
                  <c:v>1630</c:v>
                </c:pt>
                <c:pt idx="247">
                  <c:v>1635</c:v>
                </c:pt>
                <c:pt idx="248">
                  <c:v>1640</c:v>
                </c:pt>
                <c:pt idx="249">
                  <c:v>1645</c:v>
                </c:pt>
                <c:pt idx="250">
                  <c:v>1650</c:v>
                </c:pt>
                <c:pt idx="251">
                  <c:v>1655</c:v>
                </c:pt>
                <c:pt idx="252">
                  <c:v>1660</c:v>
                </c:pt>
                <c:pt idx="253">
                  <c:v>1665</c:v>
                </c:pt>
                <c:pt idx="254">
                  <c:v>1670</c:v>
                </c:pt>
                <c:pt idx="255">
                  <c:v>1675</c:v>
                </c:pt>
                <c:pt idx="256">
                  <c:v>1680</c:v>
                </c:pt>
                <c:pt idx="257">
                  <c:v>1685</c:v>
                </c:pt>
                <c:pt idx="258">
                  <c:v>1690</c:v>
                </c:pt>
                <c:pt idx="259">
                  <c:v>1695</c:v>
                </c:pt>
                <c:pt idx="260">
                  <c:v>1700</c:v>
                </c:pt>
                <c:pt idx="261">
                  <c:v>1705</c:v>
                </c:pt>
                <c:pt idx="262">
                  <c:v>1710</c:v>
                </c:pt>
                <c:pt idx="263">
                  <c:v>1715</c:v>
                </c:pt>
                <c:pt idx="264">
                  <c:v>1720</c:v>
                </c:pt>
                <c:pt idx="265">
                  <c:v>1725</c:v>
                </c:pt>
                <c:pt idx="266">
                  <c:v>1730</c:v>
                </c:pt>
                <c:pt idx="267">
                  <c:v>1735</c:v>
                </c:pt>
                <c:pt idx="268">
                  <c:v>1740</c:v>
                </c:pt>
                <c:pt idx="269">
                  <c:v>1745</c:v>
                </c:pt>
                <c:pt idx="270">
                  <c:v>1750</c:v>
                </c:pt>
                <c:pt idx="271">
                  <c:v>1755</c:v>
                </c:pt>
                <c:pt idx="272">
                  <c:v>1760</c:v>
                </c:pt>
                <c:pt idx="273">
                  <c:v>1765</c:v>
                </c:pt>
                <c:pt idx="274">
                  <c:v>1770</c:v>
                </c:pt>
                <c:pt idx="275">
                  <c:v>1775</c:v>
                </c:pt>
                <c:pt idx="276">
                  <c:v>1780</c:v>
                </c:pt>
                <c:pt idx="277">
                  <c:v>1785</c:v>
                </c:pt>
                <c:pt idx="278">
                  <c:v>1790</c:v>
                </c:pt>
                <c:pt idx="279">
                  <c:v>1795</c:v>
                </c:pt>
                <c:pt idx="280">
                  <c:v>1800</c:v>
                </c:pt>
                <c:pt idx="281">
                  <c:v>1805</c:v>
                </c:pt>
                <c:pt idx="282">
                  <c:v>1810</c:v>
                </c:pt>
                <c:pt idx="283">
                  <c:v>1815</c:v>
                </c:pt>
                <c:pt idx="284">
                  <c:v>1820</c:v>
                </c:pt>
                <c:pt idx="285">
                  <c:v>1825</c:v>
                </c:pt>
                <c:pt idx="286">
                  <c:v>1830</c:v>
                </c:pt>
                <c:pt idx="287">
                  <c:v>1835</c:v>
                </c:pt>
                <c:pt idx="288">
                  <c:v>1840</c:v>
                </c:pt>
                <c:pt idx="289">
                  <c:v>1845</c:v>
                </c:pt>
                <c:pt idx="290">
                  <c:v>1850</c:v>
                </c:pt>
                <c:pt idx="291">
                  <c:v>1855</c:v>
                </c:pt>
                <c:pt idx="292">
                  <c:v>1860</c:v>
                </c:pt>
                <c:pt idx="293">
                  <c:v>1865</c:v>
                </c:pt>
                <c:pt idx="294">
                  <c:v>1870</c:v>
                </c:pt>
                <c:pt idx="295">
                  <c:v>1875</c:v>
                </c:pt>
                <c:pt idx="296">
                  <c:v>1880</c:v>
                </c:pt>
                <c:pt idx="297">
                  <c:v>1885</c:v>
                </c:pt>
                <c:pt idx="298">
                  <c:v>1890</c:v>
                </c:pt>
                <c:pt idx="299">
                  <c:v>1895</c:v>
                </c:pt>
                <c:pt idx="300">
                  <c:v>1900</c:v>
                </c:pt>
                <c:pt idx="301">
                  <c:v>1905</c:v>
                </c:pt>
                <c:pt idx="302">
                  <c:v>1910</c:v>
                </c:pt>
                <c:pt idx="303">
                  <c:v>1915</c:v>
                </c:pt>
                <c:pt idx="304">
                  <c:v>1920</c:v>
                </c:pt>
                <c:pt idx="305">
                  <c:v>1925</c:v>
                </c:pt>
                <c:pt idx="306">
                  <c:v>1930</c:v>
                </c:pt>
                <c:pt idx="307">
                  <c:v>1935</c:v>
                </c:pt>
                <c:pt idx="308">
                  <c:v>1940</c:v>
                </c:pt>
                <c:pt idx="309">
                  <c:v>1945</c:v>
                </c:pt>
                <c:pt idx="310">
                  <c:v>1950</c:v>
                </c:pt>
                <c:pt idx="311">
                  <c:v>1955</c:v>
                </c:pt>
                <c:pt idx="312">
                  <c:v>1960</c:v>
                </c:pt>
                <c:pt idx="313">
                  <c:v>1965</c:v>
                </c:pt>
                <c:pt idx="314">
                  <c:v>1970</c:v>
                </c:pt>
                <c:pt idx="315">
                  <c:v>1975</c:v>
                </c:pt>
                <c:pt idx="316">
                  <c:v>1980</c:v>
                </c:pt>
                <c:pt idx="317">
                  <c:v>1985</c:v>
                </c:pt>
                <c:pt idx="318">
                  <c:v>1990</c:v>
                </c:pt>
                <c:pt idx="319">
                  <c:v>1995</c:v>
                </c:pt>
                <c:pt idx="320">
                  <c:v>2000</c:v>
                </c:pt>
                <c:pt idx="321">
                  <c:v>2005</c:v>
                </c:pt>
                <c:pt idx="322">
                  <c:v>2010</c:v>
                </c:pt>
                <c:pt idx="323">
                  <c:v>2015</c:v>
                </c:pt>
                <c:pt idx="324">
                  <c:v>2020</c:v>
                </c:pt>
                <c:pt idx="325">
                  <c:v>2025</c:v>
                </c:pt>
                <c:pt idx="326">
                  <c:v>2030</c:v>
                </c:pt>
                <c:pt idx="327">
                  <c:v>2035</c:v>
                </c:pt>
                <c:pt idx="328">
                  <c:v>2040</c:v>
                </c:pt>
                <c:pt idx="329">
                  <c:v>2045</c:v>
                </c:pt>
                <c:pt idx="330">
                  <c:v>2050</c:v>
                </c:pt>
                <c:pt idx="331">
                  <c:v>2055</c:v>
                </c:pt>
                <c:pt idx="332">
                  <c:v>2060</c:v>
                </c:pt>
                <c:pt idx="333">
                  <c:v>2065</c:v>
                </c:pt>
                <c:pt idx="334">
                  <c:v>2070</c:v>
                </c:pt>
                <c:pt idx="335">
                  <c:v>2075</c:v>
                </c:pt>
                <c:pt idx="336">
                  <c:v>2080</c:v>
                </c:pt>
                <c:pt idx="337">
                  <c:v>2085</c:v>
                </c:pt>
                <c:pt idx="338">
                  <c:v>2090</c:v>
                </c:pt>
                <c:pt idx="339">
                  <c:v>2095</c:v>
                </c:pt>
                <c:pt idx="340">
                  <c:v>2100</c:v>
                </c:pt>
              </c:numCache>
            </c:numRef>
          </c:xVal>
          <c:yVal>
            <c:numRef>
              <c:f>'intervalo de confianç'!$F$30:$F$370</c:f>
              <c:numCache>
                <c:formatCode>General</c:formatCode>
                <c:ptCount val="341"/>
                <c:pt idx="0">
                  <c:v>0.213854015692994</c:v>
                </c:pt>
                <c:pt idx="1">
                  <c:v>0.236274130765257</c:v>
                </c:pt>
                <c:pt idx="2">
                  <c:v>0.258694916404325</c:v>
                </c:pt>
                <c:pt idx="3">
                  <c:v>0.281116374099263</c:v>
                </c:pt>
                <c:pt idx="4">
                  <c:v>0.303538505335769</c:v>
                </c:pt>
                <c:pt idx="5">
                  <c:v>0.325961311596102</c:v>
                </c:pt>
                <c:pt idx="6">
                  <c:v>0.348384794359017</c:v>
                </c:pt>
                <c:pt idx="7">
                  <c:v>0.370808955099691</c:v>
                </c:pt>
                <c:pt idx="8">
                  <c:v>0.393233795289651</c:v>
                </c:pt>
                <c:pt idx="9">
                  <c:v>0.415659316396711</c:v>
                </c:pt>
                <c:pt idx="10">
                  <c:v>0.43808551988489</c:v>
                </c:pt>
                <c:pt idx="11">
                  <c:v>0.460512407214352</c:v>
                </c:pt>
                <c:pt idx="12">
                  <c:v>0.482939979841328</c:v>
                </c:pt>
                <c:pt idx="13">
                  <c:v>0.505368239218043</c:v>
                </c:pt>
                <c:pt idx="14">
                  <c:v>0.527797186792652</c:v>
                </c:pt>
                <c:pt idx="15">
                  <c:v>0.550226824009161</c:v>
                </c:pt>
                <c:pt idx="16">
                  <c:v>0.572657152307358</c:v>
                </c:pt>
                <c:pt idx="17">
                  <c:v>0.59508817312274</c:v>
                </c:pt>
                <c:pt idx="18">
                  <c:v>0.617519887886443</c:v>
                </c:pt>
                <c:pt idx="19">
                  <c:v>0.639952298025165</c:v>
                </c:pt>
                <c:pt idx="20">
                  <c:v>0.662385404961096</c:v>
                </c:pt>
                <c:pt idx="21">
                  <c:v>0.684819210111848</c:v>
                </c:pt>
                <c:pt idx="22">
                  <c:v>0.707253714890375</c:v>
                </c:pt>
                <c:pt idx="23">
                  <c:v>0.729688920704907</c:v>
                </c:pt>
                <c:pt idx="24">
                  <c:v>0.752124828958872</c:v>
                </c:pt>
                <c:pt idx="25">
                  <c:v>0.774561441050824</c:v>
                </c:pt>
                <c:pt idx="26">
                  <c:v>0.796998758374374</c:v>
                </c:pt>
                <c:pt idx="27">
                  <c:v>0.819436782318107</c:v>
                </c:pt>
                <c:pt idx="28">
                  <c:v>0.841875514265518</c:v>
                </c:pt>
                <c:pt idx="29">
                  <c:v>0.864314955594933</c:v>
                </c:pt>
                <c:pt idx="30">
                  <c:v>0.886755107679435</c:v>
                </c:pt>
                <c:pt idx="31">
                  <c:v>0.909195971886794</c:v>
                </c:pt>
                <c:pt idx="32">
                  <c:v>0.931637549579388</c:v>
                </c:pt>
                <c:pt idx="33">
                  <c:v>0.954079842114135</c:v>
                </c:pt>
                <c:pt idx="34">
                  <c:v>0.976522850842413</c:v>
                </c:pt>
                <c:pt idx="35">
                  <c:v>0.998966577109989</c:v>
                </c:pt>
                <c:pt idx="36">
                  <c:v>1.02141102225694</c:v>
                </c:pt>
                <c:pt idx="37">
                  <c:v>1.0438561876176</c:v>
                </c:pt>
                <c:pt idx="38">
                  <c:v>1.06630207452045</c:v>
                </c:pt>
                <c:pt idx="39">
                  <c:v>1.08874868428807</c:v>
                </c:pt>
                <c:pt idx="40">
                  <c:v>1.11119601823706</c:v>
                </c:pt>
                <c:pt idx="41">
                  <c:v>1.13364407767796</c:v>
                </c:pt>
                <c:pt idx="42">
                  <c:v>1.15609286391518</c:v>
                </c:pt>
                <c:pt idx="43">
                  <c:v>1.17854237824694</c:v>
                </c:pt>
                <c:pt idx="44">
                  <c:v>1.20099262196515</c:v>
                </c:pt>
                <c:pt idx="45">
                  <c:v>1.22344359635541</c:v>
                </c:pt>
                <c:pt idx="46">
                  <c:v>1.24589530269684</c:v>
                </c:pt>
                <c:pt idx="47">
                  <c:v>1.26834774226212</c:v>
                </c:pt>
                <c:pt idx="48">
                  <c:v>1.2908009163173</c:v>
                </c:pt>
                <c:pt idx="49">
                  <c:v>1.31325482612183</c:v>
                </c:pt>
                <c:pt idx="50">
                  <c:v>1.33570947292839</c:v>
                </c:pt>
                <c:pt idx="51">
                  <c:v>1.35816485798292</c:v>
                </c:pt>
                <c:pt idx="52">
                  <c:v>1.38062098252443</c:v>
                </c:pt>
                <c:pt idx="53">
                  <c:v>1.40307784778504</c:v>
                </c:pt>
                <c:pt idx="54">
                  <c:v>1.42553545498983</c:v>
                </c:pt>
                <c:pt idx="55">
                  <c:v>1.44799380535679</c:v>
                </c:pt>
                <c:pt idx="56">
                  <c:v>1.47045290009675</c:v>
                </c:pt>
                <c:pt idx="57">
                  <c:v>1.49291274041332</c:v>
                </c:pt>
                <c:pt idx="58">
                  <c:v>1.51537332750279</c:v>
                </c:pt>
                <c:pt idx="59">
                  <c:v>1.53783466255406</c:v>
                </c:pt>
                <c:pt idx="60">
                  <c:v>1.5602967467486</c:v>
                </c:pt>
                <c:pt idx="61">
                  <c:v>1.58275958126035</c:v>
                </c:pt>
                <c:pt idx="62">
                  <c:v>1.60522316725564</c:v>
                </c:pt>
                <c:pt idx="63">
                  <c:v>1.62768750589314</c:v>
                </c:pt>
                <c:pt idx="64">
                  <c:v>1.65015259832378</c:v>
                </c:pt>
                <c:pt idx="65">
                  <c:v>1.6726184456907</c:v>
                </c:pt>
                <c:pt idx="66">
                  <c:v>1.69508504912911</c:v>
                </c:pt>
                <c:pt idx="67">
                  <c:v>1.71755240976632</c:v>
                </c:pt>
                <c:pt idx="68">
                  <c:v>1.74002052872159</c:v>
                </c:pt>
                <c:pt idx="69">
                  <c:v>1.76248940710607</c:v>
                </c:pt>
                <c:pt idx="70">
                  <c:v>1.78495904602278</c:v>
                </c:pt>
                <c:pt idx="71">
                  <c:v>1.80742944656649</c:v>
                </c:pt>
                <c:pt idx="72">
                  <c:v>1.82990060982366</c:v>
                </c:pt>
                <c:pt idx="73">
                  <c:v>1.8523725368724</c:v>
                </c:pt>
                <c:pt idx="74">
                  <c:v>1.87484522878234</c:v>
                </c:pt>
                <c:pt idx="75">
                  <c:v>1.89731868661464</c:v>
                </c:pt>
                <c:pt idx="76">
                  <c:v>1.91979291142186</c:v>
                </c:pt>
                <c:pt idx="77">
                  <c:v>1.94226790424792</c:v>
                </c:pt>
                <c:pt idx="78">
                  <c:v>1.96474366612801</c:v>
                </c:pt>
                <c:pt idx="79">
                  <c:v>1.98722019808858</c:v>
                </c:pt>
                <c:pt idx="80">
                  <c:v>2.00969750114718</c:v>
                </c:pt>
                <c:pt idx="81">
                  <c:v>2.03217557631248</c:v>
                </c:pt>
                <c:pt idx="82">
                  <c:v>2.05465442458417</c:v>
                </c:pt>
                <c:pt idx="83">
                  <c:v>2.07713404695286</c:v>
                </c:pt>
                <c:pt idx="84">
                  <c:v>2.09961444440008</c:v>
                </c:pt>
                <c:pt idx="85">
                  <c:v>2.12209561789818</c:v>
                </c:pt>
                <c:pt idx="86">
                  <c:v>2.14457756841026</c:v>
                </c:pt>
                <c:pt idx="87">
                  <c:v>2.16706029689011</c:v>
                </c:pt>
                <c:pt idx="88">
                  <c:v>2.18954380428216</c:v>
                </c:pt>
                <c:pt idx="89">
                  <c:v>2.21202809152141</c:v>
                </c:pt>
                <c:pt idx="90">
                  <c:v>2.23451315953335</c:v>
                </c:pt>
                <c:pt idx="91">
                  <c:v>2.25699900923393</c:v>
                </c:pt>
                <c:pt idx="92">
                  <c:v>2.27948564152948</c:v>
                </c:pt>
                <c:pt idx="93">
                  <c:v>2.30197305731663</c:v>
                </c:pt>
                <c:pt idx="94">
                  <c:v>2.32446125748229</c:v>
                </c:pt>
                <c:pt idx="95">
                  <c:v>2.34695024290356</c:v>
                </c:pt>
                <c:pt idx="96">
                  <c:v>2.36944001444767</c:v>
                </c:pt>
                <c:pt idx="97">
                  <c:v>2.39193057297195</c:v>
                </c:pt>
                <c:pt idx="98">
                  <c:v>2.41442191932373</c:v>
                </c:pt>
                <c:pt idx="99">
                  <c:v>2.43691405434031</c:v>
                </c:pt>
                <c:pt idx="100">
                  <c:v>2.4594069788489</c:v>
                </c:pt>
                <c:pt idx="101">
                  <c:v>2.48190069366654</c:v>
                </c:pt>
                <c:pt idx="102">
                  <c:v>2.5043951996001</c:v>
                </c:pt>
                <c:pt idx="103">
                  <c:v>2.52689049744613</c:v>
                </c:pt>
                <c:pt idx="104">
                  <c:v>2.54938658799091</c:v>
                </c:pt>
                <c:pt idx="105">
                  <c:v>2.57188347201031</c:v>
                </c:pt>
                <c:pt idx="106">
                  <c:v>2.59438115026978</c:v>
                </c:pt>
                <c:pt idx="107">
                  <c:v>2.61687962352431</c:v>
                </c:pt>
                <c:pt idx="108">
                  <c:v>2.63937889251832</c:v>
                </c:pt>
                <c:pt idx="109">
                  <c:v>2.66187895798566</c:v>
                </c:pt>
                <c:pt idx="110">
                  <c:v>2.68437982064954</c:v>
                </c:pt>
                <c:pt idx="111">
                  <c:v>2.70688148122247</c:v>
                </c:pt>
                <c:pt idx="112">
                  <c:v>2.72938394040623</c:v>
                </c:pt>
                <c:pt idx="113">
                  <c:v>2.75188719889181</c:v>
                </c:pt>
                <c:pt idx="114">
                  <c:v>2.77439125735934</c:v>
                </c:pt>
                <c:pt idx="115">
                  <c:v>2.79689611647808</c:v>
                </c:pt>
                <c:pt idx="116">
                  <c:v>2.81940177690635</c:v>
                </c:pt>
                <c:pt idx="117">
                  <c:v>2.84190823929149</c:v>
                </c:pt>
                <c:pt idx="118">
                  <c:v>2.86441550426981</c:v>
                </c:pt>
                <c:pt idx="119">
                  <c:v>2.88692357246652</c:v>
                </c:pt>
                <c:pt idx="120">
                  <c:v>2.90943244449575</c:v>
                </c:pt>
                <c:pt idx="121">
                  <c:v>2.93194212096044</c:v>
                </c:pt>
                <c:pt idx="122">
                  <c:v>2.95445260245233</c:v>
                </c:pt>
                <c:pt idx="123">
                  <c:v>2.97696388955192</c:v>
                </c:pt>
                <c:pt idx="124">
                  <c:v>2.99947598282838</c:v>
                </c:pt>
                <c:pt idx="125">
                  <c:v>3.0219888828396</c:v>
                </c:pt>
                <c:pt idx="126">
                  <c:v>3.04450259013205</c:v>
                </c:pt>
                <c:pt idx="127">
                  <c:v>3.06701710524082</c:v>
                </c:pt>
                <c:pt idx="128">
                  <c:v>3.08953242868952</c:v>
                </c:pt>
                <c:pt idx="129">
                  <c:v>3.11204856099029</c:v>
                </c:pt>
                <c:pt idx="130">
                  <c:v>3.13456550264373</c:v>
                </c:pt>
                <c:pt idx="131">
                  <c:v>3.15708325413888</c:v>
                </c:pt>
                <c:pt idx="132">
                  <c:v>3.17960181595318</c:v>
                </c:pt>
                <c:pt idx="133">
                  <c:v>3.20212118855244</c:v>
                </c:pt>
                <c:pt idx="134">
                  <c:v>3.22464137239078</c:v>
                </c:pt>
                <c:pt idx="135">
                  <c:v>3.24716236791063</c:v>
                </c:pt>
                <c:pt idx="136">
                  <c:v>3.2696841755427</c:v>
                </c:pt>
                <c:pt idx="137">
                  <c:v>3.29220679570591</c:v>
                </c:pt>
                <c:pt idx="138">
                  <c:v>3.31473022880739</c:v>
                </c:pt>
                <c:pt idx="139">
                  <c:v>3.33725447524244</c:v>
                </c:pt>
                <c:pt idx="140">
                  <c:v>3.35977953539451</c:v>
                </c:pt>
                <c:pt idx="141">
                  <c:v>3.38230540963515</c:v>
                </c:pt>
                <c:pt idx="142">
                  <c:v>3.40483209832401</c:v>
                </c:pt>
                <c:pt idx="143">
                  <c:v>3.4273596018088</c:v>
                </c:pt>
                <c:pt idx="144">
                  <c:v>3.44988792042526</c:v>
                </c:pt>
                <c:pt idx="145">
                  <c:v>3.47241705449714</c:v>
                </c:pt>
                <c:pt idx="146">
                  <c:v>3.49494700433616</c:v>
                </c:pt>
                <c:pt idx="147">
                  <c:v>3.51747777024204</c:v>
                </c:pt>
                <c:pt idx="148">
                  <c:v>3.5400093525024</c:v>
                </c:pt>
                <c:pt idx="149">
                  <c:v>3.56254175139281</c:v>
                </c:pt>
                <c:pt idx="150">
                  <c:v>3.58507496717671</c:v>
                </c:pt>
                <c:pt idx="151">
                  <c:v>3.60760900010545</c:v>
                </c:pt>
                <c:pt idx="152">
                  <c:v>3.6301438504182</c:v>
                </c:pt>
                <c:pt idx="153">
                  <c:v>3.652679518342</c:v>
                </c:pt>
                <c:pt idx="154">
                  <c:v>3.67521600409172</c:v>
                </c:pt>
                <c:pt idx="155">
                  <c:v>3.69775330787002</c:v>
                </c:pt>
                <c:pt idx="156">
                  <c:v>3.72029142986735</c:v>
                </c:pt>
                <c:pt idx="157">
                  <c:v>3.74283037026196</c:v>
                </c:pt>
                <c:pt idx="158">
                  <c:v>3.76537012921985</c:v>
                </c:pt>
                <c:pt idx="159">
                  <c:v>3.78791070689478</c:v>
                </c:pt>
                <c:pt idx="160">
                  <c:v>3.81045210342825</c:v>
                </c:pt>
                <c:pt idx="161">
                  <c:v>3.8329943189495</c:v>
                </c:pt>
                <c:pt idx="162">
                  <c:v>3.85553735357547</c:v>
                </c:pt>
                <c:pt idx="163">
                  <c:v>3.87808120741082</c:v>
                </c:pt>
                <c:pt idx="164">
                  <c:v>3.90062588054794</c:v>
                </c:pt>
                <c:pt idx="165">
                  <c:v>3.92317137306689</c:v>
                </c:pt>
                <c:pt idx="166">
                  <c:v>3.94571768503543</c:v>
                </c:pt>
                <c:pt idx="167">
                  <c:v>3.96826481650901</c:v>
                </c:pt>
                <c:pt idx="168">
                  <c:v>3.99081276753076</c:v>
                </c:pt>
                <c:pt idx="169">
                  <c:v>4.01336153813148</c:v>
                </c:pt>
                <c:pt idx="170">
                  <c:v>4.03591112832967</c:v>
                </c:pt>
                <c:pt idx="171">
                  <c:v>4.05846153813148</c:v>
                </c:pt>
                <c:pt idx="172">
                  <c:v>4.08101276753076</c:v>
                </c:pt>
                <c:pt idx="173">
                  <c:v>4.10356481650901</c:v>
                </c:pt>
                <c:pt idx="174">
                  <c:v>4.12611768503544</c:v>
                </c:pt>
                <c:pt idx="175">
                  <c:v>4.1486713730669</c:v>
                </c:pt>
                <c:pt idx="176">
                  <c:v>4.17122588054794</c:v>
                </c:pt>
                <c:pt idx="177">
                  <c:v>4.19378120741082</c:v>
                </c:pt>
                <c:pt idx="178">
                  <c:v>4.21633735357546</c:v>
                </c:pt>
                <c:pt idx="179">
                  <c:v>4.2388943189495</c:v>
                </c:pt>
                <c:pt idx="180">
                  <c:v>4.26145210342825</c:v>
                </c:pt>
                <c:pt idx="181">
                  <c:v>4.28401070689478</c:v>
                </c:pt>
                <c:pt idx="182">
                  <c:v>4.30657012921985</c:v>
                </c:pt>
                <c:pt idx="183">
                  <c:v>4.32913037026196</c:v>
                </c:pt>
                <c:pt idx="184">
                  <c:v>4.35169142986735</c:v>
                </c:pt>
                <c:pt idx="185">
                  <c:v>4.37425330787002</c:v>
                </c:pt>
                <c:pt idx="186">
                  <c:v>4.39681600409172</c:v>
                </c:pt>
                <c:pt idx="187">
                  <c:v>4.419379518342</c:v>
                </c:pt>
                <c:pt idx="188">
                  <c:v>4.4419438504182</c:v>
                </c:pt>
                <c:pt idx="189">
                  <c:v>4.46450900010545</c:v>
                </c:pt>
                <c:pt idx="190">
                  <c:v>4.48707496717671</c:v>
                </c:pt>
                <c:pt idx="191">
                  <c:v>4.50964175139281</c:v>
                </c:pt>
                <c:pt idx="192">
                  <c:v>4.53220935250241</c:v>
                </c:pt>
                <c:pt idx="193">
                  <c:v>4.55477777024204</c:v>
                </c:pt>
                <c:pt idx="194">
                  <c:v>4.57734700433616</c:v>
                </c:pt>
                <c:pt idx="195">
                  <c:v>4.59991705449714</c:v>
                </c:pt>
                <c:pt idx="196">
                  <c:v>4.62248792042526</c:v>
                </c:pt>
                <c:pt idx="197">
                  <c:v>4.6450596018088</c:v>
                </c:pt>
                <c:pt idx="198">
                  <c:v>4.66763209832401</c:v>
                </c:pt>
                <c:pt idx="199">
                  <c:v>4.69020540963515</c:v>
                </c:pt>
                <c:pt idx="200">
                  <c:v>4.71277953539451</c:v>
                </c:pt>
                <c:pt idx="201">
                  <c:v>4.73535447524244</c:v>
                </c:pt>
                <c:pt idx="202">
                  <c:v>4.75793022880739</c:v>
                </c:pt>
                <c:pt idx="203">
                  <c:v>4.78050679570591</c:v>
                </c:pt>
                <c:pt idx="204">
                  <c:v>4.8030841755427</c:v>
                </c:pt>
                <c:pt idx="205">
                  <c:v>4.82566236791063</c:v>
                </c:pt>
                <c:pt idx="206">
                  <c:v>4.84824137239078</c:v>
                </c:pt>
                <c:pt idx="207">
                  <c:v>4.87082118855244</c:v>
                </c:pt>
                <c:pt idx="208">
                  <c:v>4.89340181595319</c:v>
                </c:pt>
                <c:pt idx="209">
                  <c:v>4.91598325413889</c:v>
                </c:pt>
                <c:pt idx="210">
                  <c:v>4.93856550264373</c:v>
                </c:pt>
                <c:pt idx="211">
                  <c:v>4.96114856099029</c:v>
                </c:pt>
                <c:pt idx="212">
                  <c:v>4.98373242868952</c:v>
                </c:pt>
                <c:pt idx="213">
                  <c:v>5.00631710524082</c:v>
                </c:pt>
                <c:pt idx="214">
                  <c:v>5.02890259013205</c:v>
                </c:pt>
                <c:pt idx="215">
                  <c:v>5.0514888828396</c:v>
                </c:pt>
                <c:pt idx="216">
                  <c:v>5.07407598282838</c:v>
                </c:pt>
                <c:pt idx="217">
                  <c:v>5.09666388955191</c:v>
                </c:pt>
                <c:pt idx="218">
                  <c:v>5.11925260245233</c:v>
                </c:pt>
                <c:pt idx="219">
                  <c:v>5.14184212096044</c:v>
                </c:pt>
                <c:pt idx="220">
                  <c:v>5.16443244449575</c:v>
                </c:pt>
                <c:pt idx="221">
                  <c:v>5.18702357246652</c:v>
                </c:pt>
                <c:pt idx="222">
                  <c:v>5.20961550426981</c:v>
                </c:pt>
                <c:pt idx="223">
                  <c:v>5.23220823929149</c:v>
                </c:pt>
                <c:pt idx="224">
                  <c:v>5.25480177690635</c:v>
                </c:pt>
                <c:pt idx="225">
                  <c:v>5.27739611647808</c:v>
                </c:pt>
                <c:pt idx="226">
                  <c:v>5.29999125735934</c:v>
                </c:pt>
                <c:pt idx="227">
                  <c:v>5.32258719889181</c:v>
                </c:pt>
                <c:pt idx="228">
                  <c:v>5.34518394040623</c:v>
                </c:pt>
                <c:pt idx="229">
                  <c:v>5.36778148122247</c:v>
                </c:pt>
                <c:pt idx="230">
                  <c:v>5.39037982064954</c:v>
                </c:pt>
                <c:pt idx="231">
                  <c:v>5.41297895798566</c:v>
                </c:pt>
                <c:pt idx="232">
                  <c:v>5.43557889251832</c:v>
                </c:pt>
                <c:pt idx="233">
                  <c:v>5.45817962352431</c:v>
                </c:pt>
                <c:pt idx="234">
                  <c:v>5.48078115026978</c:v>
                </c:pt>
                <c:pt idx="235">
                  <c:v>5.50338347201031</c:v>
                </c:pt>
                <c:pt idx="236">
                  <c:v>5.52598658799091</c:v>
                </c:pt>
                <c:pt idx="237">
                  <c:v>5.54859049744613</c:v>
                </c:pt>
                <c:pt idx="238">
                  <c:v>5.5711951996001</c:v>
                </c:pt>
                <c:pt idx="239">
                  <c:v>5.59380069366654</c:v>
                </c:pt>
                <c:pt idx="240">
                  <c:v>5.6164069788489</c:v>
                </c:pt>
                <c:pt idx="241">
                  <c:v>5.63901405434031</c:v>
                </c:pt>
                <c:pt idx="242">
                  <c:v>5.66162191932373</c:v>
                </c:pt>
                <c:pt idx="243">
                  <c:v>5.68423057297195</c:v>
                </c:pt>
                <c:pt idx="244">
                  <c:v>5.70684001444767</c:v>
                </c:pt>
                <c:pt idx="245">
                  <c:v>5.72945024290356</c:v>
                </c:pt>
                <c:pt idx="246">
                  <c:v>5.75206125748229</c:v>
                </c:pt>
                <c:pt idx="247">
                  <c:v>5.77467305731663</c:v>
                </c:pt>
                <c:pt idx="248">
                  <c:v>5.79728564152948</c:v>
                </c:pt>
                <c:pt idx="249">
                  <c:v>5.81989900923393</c:v>
                </c:pt>
                <c:pt idx="250">
                  <c:v>5.84251315953335</c:v>
                </c:pt>
                <c:pt idx="251">
                  <c:v>5.86512809152141</c:v>
                </c:pt>
                <c:pt idx="252">
                  <c:v>5.88774380428216</c:v>
                </c:pt>
                <c:pt idx="253">
                  <c:v>5.91036029689011</c:v>
                </c:pt>
                <c:pt idx="254">
                  <c:v>5.93297756841026</c:v>
                </c:pt>
                <c:pt idx="255">
                  <c:v>5.95559561789818</c:v>
                </c:pt>
                <c:pt idx="256">
                  <c:v>5.97821444440008</c:v>
                </c:pt>
                <c:pt idx="257">
                  <c:v>6.00083404695286</c:v>
                </c:pt>
                <c:pt idx="258">
                  <c:v>6.02345442458417</c:v>
                </c:pt>
                <c:pt idx="259">
                  <c:v>6.04607557631249</c:v>
                </c:pt>
                <c:pt idx="260">
                  <c:v>6.06869750114718</c:v>
                </c:pt>
                <c:pt idx="261">
                  <c:v>6.09132019808858</c:v>
                </c:pt>
                <c:pt idx="262">
                  <c:v>6.11394366612802</c:v>
                </c:pt>
                <c:pt idx="263">
                  <c:v>6.13656790424792</c:v>
                </c:pt>
                <c:pt idx="264">
                  <c:v>6.15919291142186</c:v>
                </c:pt>
                <c:pt idx="265">
                  <c:v>6.18181868661464</c:v>
                </c:pt>
                <c:pt idx="266">
                  <c:v>6.20444522878234</c:v>
                </c:pt>
                <c:pt idx="267">
                  <c:v>6.2270725368724</c:v>
                </c:pt>
                <c:pt idx="268">
                  <c:v>6.24970060982366</c:v>
                </c:pt>
                <c:pt idx="269">
                  <c:v>6.27232944656649</c:v>
                </c:pt>
                <c:pt idx="270">
                  <c:v>6.29495904602278</c:v>
                </c:pt>
                <c:pt idx="271">
                  <c:v>6.31758940710607</c:v>
                </c:pt>
                <c:pt idx="272">
                  <c:v>6.34022052872158</c:v>
                </c:pt>
                <c:pt idx="273">
                  <c:v>6.36285240976632</c:v>
                </c:pt>
                <c:pt idx="274">
                  <c:v>6.38548504912911</c:v>
                </c:pt>
                <c:pt idx="275">
                  <c:v>6.4081184456907</c:v>
                </c:pt>
                <c:pt idx="276">
                  <c:v>6.43075259832378</c:v>
                </c:pt>
                <c:pt idx="277">
                  <c:v>6.45338750589314</c:v>
                </c:pt>
                <c:pt idx="278">
                  <c:v>6.47602316725564</c:v>
                </c:pt>
                <c:pt idx="279">
                  <c:v>6.49865958126035</c:v>
                </c:pt>
                <c:pt idx="280">
                  <c:v>6.5212967467486</c:v>
                </c:pt>
                <c:pt idx="281">
                  <c:v>6.54393466255406</c:v>
                </c:pt>
                <c:pt idx="282">
                  <c:v>6.56657332750279</c:v>
                </c:pt>
                <c:pt idx="283">
                  <c:v>6.58921274041332</c:v>
                </c:pt>
                <c:pt idx="284">
                  <c:v>6.61185290009675</c:v>
                </c:pt>
                <c:pt idx="285">
                  <c:v>6.63449380535679</c:v>
                </c:pt>
                <c:pt idx="286">
                  <c:v>6.65713545498983</c:v>
                </c:pt>
                <c:pt idx="287">
                  <c:v>6.67977784778504</c:v>
                </c:pt>
                <c:pt idx="288">
                  <c:v>6.70242098252443</c:v>
                </c:pt>
                <c:pt idx="289">
                  <c:v>6.72506485798292</c:v>
                </c:pt>
                <c:pt idx="290">
                  <c:v>6.7477094729284</c:v>
                </c:pt>
                <c:pt idx="291">
                  <c:v>6.77035482612183</c:v>
                </c:pt>
                <c:pt idx="292">
                  <c:v>6.7930009163173</c:v>
                </c:pt>
                <c:pt idx="293">
                  <c:v>6.81564774226212</c:v>
                </c:pt>
                <c:pt idx="294">
                  <c:v>6.83829530269684</c:v>
                </c:pt>
                <c:pt idx="295">
                  <c:v>6.86094359635541</c:v>
                </c:pt>
                <c:pt idx="296">
                  <c:v>6.88359262196515</c:v>
                </c:pt>
                <c:pt idx="297">
                  <c:v>6.90624237824694</c:v>
                </c:pt>
                <c:pt idx="298">
                  <c:v>6.92889286391518</c:v>
                </c:pt>
                <c:pt idx="299">
                  <c:v>6.95154407767796</c:v>
                </c:pt>
                <c:pt idx="300">
                  <c:v>6.97419601823706</c:v>
                </c:pt>
                <c:pt idx="301">
                  <c:v>6.99684868428807</c:v>
                </c:pt>
                <c:pt idx="302">
                  <c:v>7.01950207452045</c:v>
                </c:pt>
                <c:pt idx="303">
                  <c:v>7.0421561876176</c:v>
                </c:pt>
                <c:pt idx="304">
                  <c:v>7.06481102225694</c:v>
                </c:pt>
                <c:pt idx="305">
                  <c:v>7.08746657710999</c:v>
                </c:pt>
                <c:pt idx="306">
                  <c:v>7.11012285084241</c:v>
                </c:pt>
                <c:pt idx="307">
                  <c:v>7.13277984211414</c:v>
                </c:pt>
                <c:pt idx="308">
                  <c:v>7.15543754957939</c:v>
                </c:pt>
                <c:pt idx="309">
                  <c:v>7.17809597188679</c:v>
                </c:pt>
                <c:pt idx="310">
                  <c:v>7.20075510767944</c:v>
                </c:pt>
                <c:pt idx="311">
                  <c:v>7.22341495559493</c:v>
                </c:pt>
                <c:pt idx="312">
                  <c:v>7.24607551426552</c:v>
                </c:pt>
                <c:pt idx="313">
                  <c:v>7.26873678231811</c:v>
                </c:pt>
                <c:pt idx="314">
                  <c:v>7.29139875837437</c:v>
                </c:pt>
                <c:pt idx="315">
                  <c:v>7.31406144105082</c:v>
                </c:pt>
                <c:pt idx="316">
                  <c:v>7.33672482895887</c:v>
                </c:pt>
                <c:pt idx="317">
                  <c:v>7.35938892070491</c:v>
                </c:pt>
                <c:pt idx="318">
                  <c:v>7.38205371489037</c:v>
                </c:pt>
                <c:pt idx="319">
                  <c:v>7.40471921011185</c:v>
                </c:pt>
                <c:pt idx="320">
                  <c:v>7.4273854049611</c:v>
                </c:pt>
                <c:pt idx="321">
                  <c:v>7.45005229802517</c:v>
                </c:pt>
                <c:pt idx="322">
                  <c:v>7.47271988788644</c:v>
                </c:pt>
                <c:pt idx="323">
                  <c:v>7.49538817312274</c:v>
                </c:pt>
                <c:pt idx="324">
                  <c:v>7.51805715230736</c:v>
                </c:pt>
                <c:pt idx="325">
                  <c:v>7.54072682400916</c:v>
                </c:pt>
                <c:pt idx="326">
                  <c:v>7.56339718679265</c:v>
                </c:pt>
                <c:pt idx="327">
                  <c:v>7.58606823921804</c:v>
                </c:pt>
                <c:pt idx="328">
                  <c:v>7.60873997984133</c:v>
                </c:pt>
                <c:pt idx="329">
                  <c:v>7.63141240721435</c:v>
                </c:pt>
                <c:pt idx="330">
                  <c:v>7.65408551988489</c:v>
                </c:pt>
                <c:pt idx="331">
                  <c:v>7.67675931639671</c:v>
                </c:pt>
                <c:pt idx="332">
                  <c:v>7.69943379528965</c:v>
                </c:pt>
                <c:pt idx="333">
                  <c:v>7.72210895509969</c:v>
                </c:pt>
                <c:pt idx="334">
                  <c:v>7.74478479435902</c:v>
                </c:pt>
                <c:pt idx="335">
                  <c:v>7.7674613115961</c:v>
                </c:pt>
                <c:pt idx="336">
                  <c:v>7.79013850533577</c:v>
                </c:pt>
                <c:pt idx="337">
                  <c:v>7.81281637409926</c:v>
                </c:pt>
                <c:pt idx="338">
                  <c:v>7.83549491640433</c:v>
                </c:pt>
                <c:pt idx="339">
                  <c:v>7.85817413076526</c:v>
                </c:pt>
                <c:pt idx="340">
                  <c:v>7.88085401569299</c:v>
                </c:pt>
              </c:numCache>
            </c:numRef>
          </c:yVal>
          <c:smooth val="0"/>
        </c:ser>
        <c:axId val="75610447"/>
        <c:axId val="25914333"/>
      </c:scatterChart>
      <c:valAx>
        <c:axId val="75610447"/>
        <c:scaling>
          <c:orientation val="minMax"/>
          <c:max val="2100"/>
          <c:min val="4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914333"/>
        <c:crosses val="autoZero"/>
        <c:crossBetween val="midCat"/>
      </c:valAx>
      <c:valAx>
        <c:axId val="25914333"/>
        <c:scaling>
          <c:orientation val="minMax"/>
          <c:max val="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61044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"Ya"</c:f>
              <c:strCache>
                <c:ptCount val="1"/>
                <c:pt idx="0">
                  <c:v>Ya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'LD e LQ'!$A$5:$A$105</c:f>
              <c:numCache>
                <c:formatCode>General</c:formatCode>
                <c:ptCount val="1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</c:numCache>
            </c:numRef>
          </c:xVal>
          <c:yVal>
            <c:numRef>
              <c:f>'LD e LQ'!$D$5:$D$105</c:f>
              <c:numCache>
                <c:formatCode>General</c:formatCode>
                <c:ptCount val="101"/>
                <c:pt idx="0">
                  <c:v>-1.7651</c:v>
                </c:pt>
                <c:pt idx="1">
                  <c:v>-1.6749</c:v>
                </c:pt>
                <c:pt idx="2">
                  <c:v>-1.5847</c:v>
                </c:pt>
                <c:pt idx="3">
                  <c:v>-1.4945</c:v>
                </c:pt>
                <c:pt idx="4">
                  <c:v>-1.4043</c:v>
                </c:pt>
                <c:pt idx="5">
                  <c:v>-1.3141</c:v>
                </c:pt>
                <c:pt idx="6">
                  <c:v>-1.2239</c:v>
                </c:pt>
                <c:pt idx="7">
                  <c:v>-1.1337</c:v>
                </c:pt>
                <c:pt idx="8">
                  <c:v>-1.0435</c:v>
                </c:pt>
                <c:pt idx="9">
                  <c:v>-0.9533</c:v>
                </c:pt>
                <c:pt idx="10">
                  <c:v>-0.8631</c:v>
                </c:pt>
                <c:pt idx="11">
                  <c:v>-0.7729</c:v>
                </c:pt>
                <c:pt idx="12">
                  <c:v>-0.6827</c:v>
                </c:pt>
                <c:pt idx="13">
                  <c:v>-0.5925</c:v>
                </c:pt>
                <c:pt idx="14">
                  <c:v>-0.5023</c:v>
                </c:pt>
                <c:pt idx="15">
                  <c:v>-0.4121</c:v>
                </c:pt>
                <c:pt idx="16">
                  <c:v>-0.3219</c:v>
                </c:pt>
                <c:pt idx="17">
                  <c:v>-0.2317</c:v>
                </c:pt>
                <c:pt idx="18">
                  <c:v>-0.1415</c:v>
                </c:pt>
                <c:pt idx="19">
                  <c:v>-0.0512999999999999</c:v>
                </c:pt>
                <c:pt idx="20">
                  <c:v>0.0389000000000002</c:v>
                </c:pt>
                <c:pt idx="21">
                  <c:v>0.1291</c:v>
                </c:pt>
                <c:pt idx="22">
                  <c:v>0.2193</c:v>
                </c:pt>
                <c:pt idx="23">
                  <c:v>0.3095</c:v>
                </c:pt>
                <c:pt idx="24">
                  <c:v>0.3997</c:v>
                </c:pt>
                <c:pt idx="25">
                  <c:v>0.4899</c:v>
                </c:pt>
                <c:pt idx="26">
                  <c:v>0.5801</c:v>
                </c:pt>
                <c:pt idx="27">
                  <c:v>0.6703</c:v>
                </c:pt>
                <c:pt idx="28">
                  <c:v>0.7605</c:v>
                </c:pt>
                <c:pt idx="29">
                  <c:v>0.8507</c:v>
                </c:pt>
                <c:pt idx="30">
                  <c:v>0.9409</c:v>
                </c:pt>
                <c:pt idx="31">
                  <c:v>1.0311</c:v>
                </c:pt>
                <c:pt idx="32">
                  <c:v>1.1213</c:v>
                </c:pt>
                <c:pt idx="33">
                  <c:v>1.2115</c:v>
                </c:pt>
                <c:pt idx="34">
                  <c:v>1.3017</c:v>
                </c:pt>
                <c:pt idx="35">
                  <c:v>1.3919</c:v>
                </c:pt>
                <c:pt idx="36">
                  <c:v>1.4821</c:v>
                </c:pt>
                <c:pt idx="37">
                  <c:v>1.5723</c:v>
                </c:pt>
                <c:pt idx="38">
                  <c:v>1.6625</c:v>
                </c:pt>
                <c:pt idx="39">
                  <c:v>1.7527</c:v>
                </c:pt>
                <c:pt idx="40">
                  <c:v>1.8429</c:v>
                </c:pt>
                <c:pt idx="41">
                  <c:v>1.9331</c:v>
                </c:pt>
                <c:pt idx="42">
                  <c:v>2.0233</c:v>
                </c:pt>
                <c:pt idx="43">
                  <c:v>2.1135</c:v>
                </c:pt>
                <c:pt idx="44">
                  <c:v>2.2037</c:v>
                </c:pt>
                <c:pt idx="45">
                  <c:v>2.2939</c:v>
                </c:pt>
                <c:pt idx="46">
                  <c:v>2.3841</c:v>
                </c:pt>
                <c:pt idx="47">
                  <c:v>2.4743</c:v>
                </c:pt>
                <c:pt idx="48">
                  <c:v>2.5645</c:v>
                </c:pt>
                <c:pt idx="49">
                  <c:v>2.6547</c:v>
                </c:pt>
                <c:pt idx="50">
                  <c:v>2.7449</c:v>
                </c:pt>
                <c:pt idx="51">
                  <c:v>2.8351</c:v>
                </c:pt>
                <c:pt idx="52">
                  <c:v>2.9253</c:v>
                </c:pt>
                <c:pt idx="53">
                  <c:v>3.0155</c:v>
                </c:pt>
                <c:pt idx="54">
                  <c:v>3.1057</c:v>
                </c:pt>
                <c:pt idx="55">
                  <c:v>3.1959</c:v>
                </c:pt>
                <c:pt idx="56">
                  <c:v>3.2861</c:v>
                </c:pt>
                <c:pt idx="57">
                  <c:v>3.3763</c:v>
                </c:pt>
                <c:pt idx="58">
                  <c:v>3.4665</c:v>
                </c:pt>
                <c:pt idx="59">
                  <c:v>3.5567</c:v>
                </c:pt>
                <c:pt idx="60">
                  <c:v>3.6469</c:v>
                </c:pt>
                <c:pt idx="61">
                  <c:v>3.7371</c:v>
                </c:pt>
                <c:pt idx="62">
                  <c:v>3.8273</c:v>
                </c:pt>
                <c:pt idx="63">
                  <c:v>3.9175</c:v>
                </c:pt>
                <c:pt idx="64">
                  <c:v>4.0077</c:v>
                </c:pt>
                <c:pt idx="65">
                  <c:v>4.0979</c:v>
                </c:pt>
                <c:pt idx="66">
                  <c:v>4.1881</c:v>
                </c:pt>
                <c:pt idx="67">
                  <c:v>4.2783</c:v>
                </c:pt>
                <c:pt idx="68">
                  <c:v>4.3685</c:v>
                </c:pt>
                <c:pt idx="69">
                  <c:v>4.4587</c:v>
                </c:pt>
                <c:pt idx="70">
                  <c:v>4.5489</c:v>
                </c:pt>
                <c:pt idx="71">
                  <c:v>4.6391</c:v>
                </c:pt>
                <c:pt idx="72">
                  <c:v>4.7293</c:v>
                </c:pt>
                <c:pt idx="73">
                  <c:v>4.8195</c:v>
                </c:pt>
                <c:pt idx="74">
                  <c:v>4.9097</c:v>
                </c:pt>
                <c:pt idx="75">
                  <c:v>4.9999</c:v>
                </c:pt>
                <c:pt idx="76">
                  <c:v>5.0901</c:v>
                </c:pt>
                <c:pt idx="77">
                  <c:v>5.1803</c:v>
                </c:pt>
                <c:pt idx="78">
                  <c:v>5.2705</c:v>
                </c:pt>
                <c:pt idx="79">
                  <c:v>5.3607</c:v>
                </c:pt>
                <c:pt idx="80">
                  <c:v>5.4509</c:v>
                </c:pt>
                <c:pt idx="81">
                  <c:v>5.5411</c:v>
                </c:pt>
                <c:pt idx="82">
                  <c:v>5.6313</c:v>
                </c:pt>
                <c:pt idx="83">
                  <c:v>5.7215</c:v>
                </c:pt>
                <c:pt idx="84">
                  <c:v>5.8117</c:v>
                </c:pt>
                <c:pt idx="85">
                  <c:v>5.9019</c:v>
                </c:pt>
                <c:pt idx="86">
                  <c:v>5.9921</c:v>
                </c:pt>
                <c:pt idx="87">
                  <c:v>6.0823</c:v>
                </c:pt>
                <c:pt idx="88">
                  <c:v>6.1725</c:v>
                </c:pt>
                <c:pt idx="89">
                  <c:v>6.2627</c:v>
                </c:pt>
                <c:pt idx="90">
                  <c:v>6.3529</c:v>
                </c:pt>
                <c:pt idx="91">
                  <c:v>6.4431</c:v>
                </c:pt>
                <c:pt idx="92">
                  <c:v>6.5333</c:v>
                </c:pt>
                <c:pt idx="93">
                  <c:v>6.6235</c:v>
                </c:pt>
                <c:pt idx="94">
                  <c:v>6.7137</c:v>
                </c:pt>
                <c:pt idx="95">
                  <c:v>6.8039</c:v>
                </c:pt>
                <c:pt idx="96">
                  <c:v>6.8941</c:v>
                </c:pt>
                <c:pt idx="97">
                  <c:v>6.9843</c:v>
                </c:pt>
                <c:pt idx="98">
                  <c:v>7.0745</c:v>
                </c:pt>
                <c:pt idx="99">
                  <c:v>7.1647</c:v>
                </c:pt>
                <c:pt idx="100">
                  <c:v>7.2549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"Ya inferior"</c:f>
              <c:strCache>
                <c:ptCount val="1"/>
                <c:pt idx="0">
                  <c:v>Ya inferior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'LD e LQ'!$A$5:$A$105</c:f>
              <c:numCache>
                <c:formatCode>General</c:formatCode>
                <c:ptCount val="1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</c:numCache>
            </c:numRef>
          </c:xVal>
          <c:yVal>
            <c:numRef>
              <c:f>'LD e LQ'!$E$5:$E$105</c:f>
              <c:numCache>
                <c:formatCode>General</c:formatCode>
                <c:ptCount val="101"/>
                <c:pt idx="0">
                  <c:v>-1.95248141367352</c:v>
                </c:pt>
                <c:pt idx="1">
                  <c:v>-1.86157059077077</c:v>
                </c:pt>
                <c:pt idx="2">
                  <c:v>-1.77066858119194</c:v>
                </c:pt>
                <c:pt idx="3">
                  <c:v>-1.67977548511821</c:v>
                </c:pt>
                <c:pt idx="4">
                  <c:v>-1.58889140295379</c:v>
                </c:pt>
                <c:pt idx="5">
                  <c:v>-1.49801643528113</c:v>
                </c:pt>
                <c:pt idx="6">
                  <c:v>-1.40715068281456</c:v>
                </c:pt>
                <c:pt idx="7">
                  <c:v>-1.31629424635213</c:v>
                </c:pt>
                <c:pt idx="8">
                  <c:v>-1.2254472267258</c:v>
                </c:pt>
                <c:pt idx="9">
                  <c:v>-1.13460972475003</c:v>
                </c:pt>
                <c:pt idx="10">
                  <c:v>-1.04378184116858</c:v>
                </c:pt>
                <c:pt idx="11">
                  <c:v>-0.952963676599737</c:v>
                </c:pt>
                <c:pt idx="12">
                  <c:v>-0.862155331479938</c:v>
                </c:pt>
                <c:pt idx="13">
                  <c:v>-0.771356906005741</c:v>
                </c:pt>
                <c:pt idx="14">
                  <c:v>-0.680568500074274</c:v>
                </c:pt>
                <c:pt idx="15">
                  <c:v>-0.589790213222138</c:v>
                </c:pt>
                <c:pt idx="16">
                  <c:v>-0.499022144562838</c:v>
                </c:pt>
                <c:pt idx="17">
                  <c:v>-0.408264392722772</c:v>
                </c:pt>
                <c:pt idx="18">
                  <c:v>-0.317517055775843</c:v>
                </c:pt>
                <c:pt idx="19">
                  <c:v>-0.226780231176745</c:v>
                </c:pt>
                <c:pt idx="20">
                  <c:v>-0.136054015692993</c:v>
                </c:pt>
                <c:pt idx="21">
                  <c:v>-0.0453385053357683</c:v>
                </c:pt>
                <c:pt idx="22">
                  <c:v>0.045366204710349</c:v>
                </c:pt>
                <c:pt idx="23">
                  <c:v>0.136060020158673</c:v>
                </c:pt>
                <c:pt idx="24">
                  <c:v>0.226742847692643</c:v>
                </c:pt>
                <c:pt idx="25">
                  <c:v>0.317414595038904</c:v>
                </c:pt>
                <c:pt idx="26">
                  <c:v>0.408075171041129</c:v>
                </c:pt>
                <c:pt idx="27">
                  <c:v>0.498724485734482</c:v>
                </c:pt>
                <c:pt idx="28">
                  <c:v>0.589362450420612</c:v>
                </c:pt>
                <c:pt idx="29">
                  <c:v>0.679988977743056</c:v>
                </c:pt>
                <c:pt idx="30">
                  <c:v>0.770603981762942</c:v>
                </c:pt>
                <c:pt idx="31">
                  <c:v>0.861207378034846</c:v>
                </c:pt>
                <c:pt idx="32">
                  <c:v>0.951799083682697</c:v>
                </c:pt>
                <c:pt idx="33">
                  <c:v>1.04237901747557</c:v>
                </c:pt>
                <c:pt idx="34">
                  <c:v>1.13294709990325</c:v>
                </c:pt>
                <c:pt idx="35">
                  <c:v>1.2235032532514</c:v>
                </c:pt>
                <c:pt idx="36">
                  <c:v>1.31404740167622</c:v>
                </c:pt>
                <c:pt idx="37">
                  <c:v>1.40457947127842</c:v>
                </c:pt>
                <c:pt idx="38">
                  <c:v>1.49509939017634</c:v>
                </c:pt>
                <c:pt idx="39">
                  <c:v>1.58560708857814</c:v>
                </c:pt>
                <c:pt idx="40">
                  <c:v>1.67610249885282</c:v>
                </c:pt>
                <c:pt idx="41">
                  <c:v>1.76658555559992</c:v>
                </c:pt>
                <c:pt idx="42">
                  <c:v>1.85705619571784</c:v>
                </c:pt>
                <c:pt idx="43">
                  <c:v>1.94751435847052</c:v>
                </c:pt>
                <c:pt idx="44">
                  <c:v>2.03795998555233</c:v>
                </c:pt>
                <c:pt idx="45">
                  <c:v>2.12839302115111</c:v>
                </c:pt>
                <c:pt idx="46">
                  <c:v>2.2188134120091</c:v>
                </c:pt>
                <c:pt idx="47">
                  <c:v>2.30922110748168</c:v>
                </c:pt>
                <c:pt idx="48">
                  <c:v>2.39961605959377</c:v>
                </c:pt>
                <c:pt idx="49">
                  <c:v>2.48999822309365</c:v>
                </c:pt>
                <c:pt idx="50">
                  <c:v>2.58036755550425</c:v>
                </c:pt>
                <c:pt idx="51">
                  <c:v>2.67072401717162</c:v>
                </c:pt>
                <c:pt idx="52">
                  <c:v>2.76106757131048</c:v>
                </c:pt>
                <c:pt idx="53">
                  <c:v>2.85139818404682</c:v>
                </c:pt>
                <c:pt idx="54">
                  <c:v>2.9417158244573</c:v>
                </c:pt>
                <c:pt idx="55">
                  <c:v>3.03202046460549</c:v>
                </c:pt>
                <c:pt idx="56">
                  <c:v>3.12231207957474</c:v>
                </c:pt>
                <c:pt idx="57">
                  <c:v>3.2125906474976</c:v>
                </c:pt>
                <c:pt idx="58">
                  <c:v>3.3028561495818</c:v>
                </c:pt>
                <c:pt idx="59">
                  <c:v>3.39310857013265</c:v>
                </c:pt>
                <c:pt idx="60">
                  <c:v>3.48334789657175</c:v>
                </c:pt>
                <c:pt idx="61">
                  <c:v>3.57357411945206</c:v>
                </c:pt>
                <c:pt idx="62">
                  <c:v>3.66378723246924</c:v>
                </c:pt>
                <c:pt idx="63">
                  <c:v>3.75398723246924</c:v>
                </c:pt>
                <c:pt idx="64">
                  <c:v>3.84417411945206</c:v>
                </c:pt>
                <c:pt idx="65">
                  <c:v>3.93434789657175</c:v>
                </c:pt>
                <c:pt idx="66">
                  <c:v>4.02450857013265</c:v>
                </c:pt>
                <c:pt idx="67">
                  <c:v>4.1146561495818</c:v>
                </c:pt>
                <c:pt idx="68">
                  <c:v>4.2047906474976</c:v>
                </c:pt>
                <c:pt idx="69">
                  <c:v>4.29491207957474</c:v>
                </c:pt>
                <c:pt idx="70">
                  <c:v>4.38502046460549</c:v>
                </c:pt>
                <c:pt idx="71">
                  <c:v>4.4751158244573</c:v>
                </c:pt>
                <c:pt idx="72">
                  <c:v>4.56519818404682</c:v>
                </c:pt>
                <c:pt idx="73">
                  <c:v>4.65526757131048</c:v>
                </c:pt>
                <c:pt idx="74">
                  <c:v>4.74532401717162</c:v>
                </c:pt>
                <c:pt idx="75">
                  <c:v>4.83536755550425</c:v>
                </c:pt>
                <c:pt idx="76">
                  <c:v>4.92539822309365</c:v>
                </c:pt>
                <c:pt idx="77">
                  <c:v>5.01541605959377</c:v>
                </c:pt>
                <c:pt idx="78">
                  <c:v>5.10542110748168</c:v>
                </c:pt>
                <c:pt idx="79">
                  <c:v>5.19541341200909</c:v>
                </c:pt>
                <c:pt idx="80">
                  <c:v>5.28539302115111</c:v>
                </c:pt>
                <c:pt idx="81">
                  <c:v>5.37535998555233</c:v>
                </c:pt>
                <c:pt idx="82">
                  <c:v>5.46531435847052</c:v>
                </c:pt>
                <c:pt idx="83">
                  <c:v>5.55525619571784</c:v>
                </c:pt>
                <c:pt idx="84">
                  <c:v>5.64518555559992</c:v>
                </c:pt>
                <c:pt idx="85">
                  <c:v>5.73510249885282</c:v>
                </c:pt>
                <c:pt idx="86">
                  <c:v>5.82500708857814</c:v>
                </c:pt>
                <c:pt idx="87">
                  <c:v>5.91489939017634</c:v>
                </c:pt>
                <c:pt idx="88">
                  <c:v>6.00477947127842</c:v>
                </c:pt>
                <c:pt idx="89">
                  <c:v>6.09464740167622</c:v>
                </c:pt>
                <c:pt idx="90">
                  <c:v>6.1845032532514</c:v>
                </c:pt>
                <c:pt idx="91">
                  <c:v>6.27434709990325</c:v>
                </c:pt>
                <c:pt idx="92">
                  <c:v>6.36417901747557</c:v>
                </c:pt>
                <c:pt idx="93">
                  <c:v>6.4539990836827</c:v>
                </c:pt>
                <c:pt idx="94">
                  <c:v>6.54380737803485</c:v>
                </c:pt>
                <c:pt idx="95">
                  <c:v>6.63360398176294</c:v>
                </c:pt>
                <c:pt idx="96">
                  <c:v>6.72338897774306</c:v>
                </c:pt>
                <c:pt idx="97">
                  <c:v>6.81316245042061</c:v>
                </c:pt>
                <c:pt idx="98">
                  <c:v>6.90292448573448</c:v>
                </c:pt>
                <c:pt idx="99">
                  <c:v>6.99267517104113</c:v>
                </c:pt>
                <c:pt idx="100">
                  <c:v>7.0824145950389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"Ya superior"</c:f>
              <c:strCache>
                <c:ptCount val="1"/>
                <c:pt idx="0">
                  <c:v>Ya superior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'LD e LQ'!$A$5:$A$105</c:f>
              <c:numCache>
                <c:formatCode>General</c:formatCode>
                <c:ptCount val="10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</c:numCache>
            </c:numRef>
          </c:xVal>
          <c:yVal>
            <c:numRef>
              <c:f>'LD e LQ'!$F$5:$F$105</c:f>
              <c:numCache>
                <c:formatCode>General</c:formatCode>
                <c:ptCount val="101"/>
                <c:pt idx="0">
                  <c:v>-1.57771858632648</c:v>
                </c:pt>
                <c:pt idx="1">
                  <c:v>-1.48822940922923</c:v>
                </c:pt>
                <c:pt idx="2">
                  <c:v>-1.39873141880806</c:v>
                </c:pt>
                <c:pt idx="3">
                  <c:v>-1.30922451488179</c:v>
                </c:pt>
                <c:pt idx="4">
                  <c:v>-1.21970859704621</c:v>
                </c:pt>
                <c:pt idx="5">
                  <c:v>-1.13018356471887</c:v>
                </c:pt>
                <c:pt idx="6">
                  <c:v>-1.04064931718544</c:v>
                </c:pt>
                <c:pt idx="7">
                  <c:v>-0.951105753647873</c:v>
                </c:pt>
                <c:pt idx="8">
                  <c:v>-0.861552773274197</c:v>
                </c:pt>
                <c:pt idx="9">
                  <c:v>-0.771990275249967</c:v>
                </c:pt>
                <c:pt idx="10">
                  <c:v>-0.682418158831422</c:v>
                </c:pt>
                <c:pt idx="11">
                  <c:v>-0.592836323400263</c:v>
                </c:pt>
                <c:pt idx="12">
                  <c:v>-0.503244668520062</c:v>
                </c:pt>
                <c:pt idx="13">
                  <c:v>-0.413643093994258</c:v>
                </c:pt>
                <c:pt idx="14">
                  <c:v>-0.324031499925726</c:v>
                </c:pt>
                <c:pt idx="15">
                  <c:v>-0.234409786777862</c:v>
                </c:pt>
                <c:pt idx="16">
                  <c:v>-0.144777855437162</c:v>
                </c:pt>
                <c:pt idx="17">
                  <c:v>-0.0551356072772276</c:v>
                </c:pt>
                <c:pt idx="18">
                  <c:v>0.0345170557758438</c:v>
                </c:pt>
                <c:pt idx="19">
                  <c:v>0.124180231176746</c:v>
                </c:pt>
                <c:pt idx="20">
                  <c:v>0.213854015692994</c:v>
                </c:pt>
                <c:pt idx="21">
                  <c:v>0.303538505335769</c:v>
                </c:pt>
                <c:pt idx="22">
                  <c:v>0.393233795289651</c:v>
                </c:pt>
                <c:pt idx="23">
                  <c:v>0.482939979841328</c:v>
                </c:pt>
                <c:pt idx="24">
                  <c:v>0.572657152307358</c:v>
                </c:pt>
                <c:pt idx="25">
                  <c:v>0.662385404961096</c:v>
                </c:pt>
                <c:pt idx="26">
                  <c:v>0.752124828958872</c:v>
                </c:pt>
                <c:pt idx="27">
                  <c:v>0.841875514265518</c:v>
                </c:pt>
                <c:pt idx="28">
                  <c:v>0.931637549579388</c:v>
                </c:pt>
                <c:pt idx="29">
                  <c:v>1.02141102225694</c:v>
                </c:pt>
                <c:pt idx="30">
                  <c:v>1.11119601823706</c:v>
                </c:pt>
                <c:pt idx="31">
                  <c:v>1.20099262196515</c:v>
                </c:pt>
                <c:pt idx="32">
                  <c:v>1.2908009163173</c:v>
                </c:pt>
                <c:pt idx="33">
                  <c:v>1.38062098252443</c:v>
                </c:pt>
                <c:pt idx="34">
                  <c:v>1.47045290009675</c:v>
                </c:pt>
                <c:pt idx="35">
                  <c:v>1.5602967467486</c:v>
                </c:pt>
                <c:pt idx="36">
                  <c:v>1.65015259832378</c:v>
                </c:pt>
                <c:pt idx="37">
                  <c:v>1.74002052872159</c:v>
                </c:pt>
                <c:pt idx="38">
                  <c:v>1.82990060982366</c:v>
                </c:pt>
                <c:pt idx="39">
                  <c:v>1.91979291142186</c:v>
                </c:pt>
                <c:pt idx="40">
                  <c:v>2.00969750114718</c:v>
                </c:pt>
                <c:pt idx="41">
                  <c:v>2.09961444440008</c:v>
                </c:pt>
                <c:pt idx="42">
                  <c:v>2.18954380428216</c:v>
                </c:pt>
                <c:pt idx="43">
                  <c:v>2.27948564152948</c:v>
                </c:pt>
                <c:pt idx="44">
                  <c:v>2.36944001444767</c:v>
                </c:pt>
                <c:pt idx="45">
                  <c:v>2.4594069788489</c:v>
                </c:pt>
                <c:pt idx="46">
                  <c:v>2.54938658799091</c:v>
                </c:pt>
                <c:pt idx="47">
                  <c:v>2.63937889251832</c:v>
                </c:pt>
                <c:pt idx="48">
                  <c:v>2.72938394040623</c:v>
                </c:pt>
                <c:pt idx="49">
                  <c:v>2.81940177690635</c:v>
                </c:pt>
                <c:pt idx="50">
                  <c:v>2.90943244449575</c:v>
                </c:pt>
                <c:pt idx="51">
                  <c:v>2.99947598282838</c:v>
                </c:pt>
                <c:pt idx="52">
                  <c:v>3.08953242868952</c:v>
                </c:pt>
                <c:pt idx="53">
                  <c:v>3.17960181595318</c:v>
                </c:pt>
                <c:pt idx="54">
                  <c:v>3.2696841755427</c:v>
                </c:pt>
                <c:pt idx="55">
                  <c:v>3.35977953539451</c:v>
                </c:pt>
                <c:pt idx="56">
                  <c:v>3.44988792042526</c:v>
                </c:pt>
                <c:pt idx="57">
                  <c:v>3.5400093525024</c:v>
                </c:pt>
                <c:pt idx="58">
                  <c:v>3.6301438504182</c:v>
                </c:pt>
                <c:pt idx="59">
                  <c:v>3.72029142986735</c:v>
                </c:pt>
                <c:pt idx="60">
                  <c:v>3.81045210342825</c:v>
                </c:pt>
                <c:pt idx="61">
                  <c:v>3.90062588054794</c:v>
                </c:pt>
                <c:pt idx="62">
                  <c:v>3.99081276753076</c:v>
                </c:pt>
                <c:pt idx="63">
                  <c:v>4.08101276753076</c:v>
                </c:pt>
                <c:pt idx="64">
                  <c:v>4.17122588054794</c:v>
                </c:pt>
                <c:pt idx="65">
                  <c:v>4.26145210342825</c:v>
                </c:pt>
                <c:pt idx="66">
                  <c:v>4.35169142986735</c:v>
                </c:pt>
                <c:pt idx="67">
                  <c:v>4.4419438504182</c:v>
                </c:pt>
                <c:pt idx="68">
                  <c:v>4.53220935250241</c:v>
                </c:pt>
                <c:pt idx="69">
                  <c:v>4.62248792042526</c:v>
                </c:pt>
                <c:pt idx="70">
                  <c:v>4.71277953539451</c:v>
                </c:pt>
                <c:pt idx="71">
                  <c:v>4.8030841755427</c:v>
                </c:pt>
                <c:pt idx="72">
                  <c:v>4.89340181595319</c:v>
                </c:pt>
                <c:pt idx="73">
                  <c:v>4.98373242868952</c:v>
                </c:pt>
                <c:pt idx="74">
                  <c:v>5.07407598282838</c:v>
                </c:pt>
                <c:pt idx="75">
                  <c:v>5.16443244449575</c:v>
                </c:pt>
                <c:pt idx="76">
                  <c:v>5.25480177690635</c:v>
                </c:pt>
                <c:pt idx="77">
                  <c:v>5.34518394040623</c:v>
                </c:pt>
                <c:pt idx="78">
                  <c:v>5.43557889251832</c:v>
                </c:pt>
                <c:pt idx="79">
                  <c:v>5.52598658799091</c:v>
                </c:pt>
                <c:pt idx="80">
                  <c:v>5.6164069788489</c:v>
                </c:pt>
                <c:pt idx="81">
                  <c:v>5.70684001444767</c:v>
                </c:pt>
                <c:pt idx="82">
                  <c:v>5.79728564152948</c:v>
                </c:pt>
                <c:pt idx="83">
                  <c:v>5.88774380428216</c:v>
                </c:pt>
                <c:pt idx="84">
                  <c:v>5.97821444440008</c:v>
                </c:pt>
                <c:pt idx="85">
                  <c:v>6.06869750114718</c:v>
                </c:pt>
                <c:pt idx="86">
                  <c:v>6.15919291142186</c:v>
                </c:pt>
                <c:pt idx="87">
                  <c:v>6.24970060982366</c:v>
                </c:pt>
                <c:pt idx="88">
                  <c:v>6.34022052872158</c:v>
                </c:pt>
                <c:pt idx="89">
                  <c:v>6.43075259832378</c:v>
                </c:pt>
                <c:pt idx="90">
                  <c:v>6.5212967467486</c:v>
                </c:pt>
                <c:pt idx="91">
                  <c:v>6.61185290009675</c:v>
                </c:pt>
                <c:pt idx="92">
                  <c:v>6.70242098252443</c:v>
                </c:pt>
                <c:pt idx="93">
                  <c:v>6.7930009163173</c:v>
                </c:pt>
                <c:pt idx="94">
                  <c:v>6.88359262196515</c:v>
                </c:pt>
                <c:pt idx="95">
                  <c:v>6.97419601823706</c:v>
                </c:pt>
                <c:pt idx="96">
                  <c:v>7.06481102225694</c:v>
                </c:pt>
                <c:pt idx="97">
                  <c:v>7.15543754957939</c:v>
                </c:pt>
                <c:pt idx="98">
                  <c:v>7.24607551426552</c:v>
                </c:pt>
                <c:pt idx="99">
                  <c:v>7.33672482895887</c:v>
                </c:pt>
                <c:pt idx="100">
                  <c:v>7.4273854049611</c:v>
                </c:pt>
              </c:numCache>
            </c:numRef>
          </c:yVal>
          <c:smooth val="0"/>
        </c:ser>
        <c:axId val="30309064"/>
        <c:axId val="87718517"/>
      </c:scatterChart>
      <c:valAx>
        <c:axId val="30309064"/>
        <c:scaling>
          <c:orientation val="minMax"/>
          <c:max val="20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718517"/>
        <c:crosses val="autoZero"/>
        <c:crossBetween val="midCat"/>
      </c:valAx>
      <c:valAx>
        <c:axId val="87718517"/>
        <c:scaling>
          <c:orientation val="minMax"/>
          <c:min val="-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30906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485640</xdr:colOff>
      <xdr:row>0</xdr:row>
      <xdr:rowOff>189000</xdr:rowOff>
    </xdr:from>
    <xdr:to>
      <xdr:col>14</xdr:col>
      <xdr:colOff>66240</xdr:colOff>
      <xdr:row>21</xdr:row>
      <xdr:rowOff>94680</xdr:rowOff>
    </xdr:to>
    <xdr:graphicFrame>
      <xdr:nvGraphicFramePr>
        <xdr:cNvPr id="1" name="Gráfico 1"/>
        <xdr:cNvGraphicFramePr/>
      </xdr:nvGraphicFramePr>
      <xdr:xfrm>
        <a:off x="2762280" y="189000"/>
        <a:ext cx="7927560" cy="390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343080</xdr:colOff>
      <xdr:row>7</xdr:row>
      <xdr:rowOff>38160</xdr:rowOff>
    </xdr:from>
    <xdr:to>
      <xdr:col>12</xdr:col>
      <xdr:colOff>2880</xdr:colOff>
      <xdr:row>15</xdr:row>
      <xdr:rowOff>117000</xdr:rowOff>
    </xdr:to>
    <xdr:grpSp>
      <xdr:nvGrpSpPr>
        <xdr:cNvPr id="2" name="Grupo 1"/>
        <xdr:cNvGrpSpPr/>
      </xdr:nvGrpSpPr>
      <xdr:grpSpPr>
        <a:xfrm>
          <a:off x="9563400" y="1431360"/>
          <a:ext cx="4311000" cy="1602720"/>
          <a:chOff x="9563400" y="1431360"/>
          <a:chExt cx="4311000" cy="1602720"/>
        </a:xfrm>
      </xdr:grpSpPr>
      <xdr:pic>
        <xdr:nvPicPr>
          <xdr:cNvPr id="3" name="Picture 5"/>
          <xdr:cNvPicPr/>
        </xdr:nvPicPr>
        <xdr:blipFill>
          <a:blip r:embed="rId1"/>
          <a:stretch/>
        </xdr:blipFill>
        <xdr:spPr>
          <a:xfrm>
            <a:off x="9563400" y="1863000"/>
            <a:ext cx="4311000" cy="1171080"/>
          </a:xfrm>
          <a:prstGeom prst="rect">
            <a:avLst/>
          </a:prstGeom>
          <a:noFill/>
          <a:ln w="0">
            <a:noFill/>
          </a:ln>
        </xdr:spPr>
      </xdr:pic>
      <xdr:sp>
        <xdr:nvSpPr>
          <xdr:cNvPr id="4" name="CaixaDeTexto 1"/>
          <xdr:cNvSpPr/>
        </xdr:nvSpPr>
        <xdr:spPr>
          <a:xfrm>
            <a:off x="9563400" y="1431360"/>
            <a:ext cx="4311000" cy="46116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90000" tIns="45000" rIns="90000" bIns="45000" anchor="t">
            <a:spAutoFit/>
          </a:bodyPr>
          <a:p>
            <a:pPr>
              <a:lnSpc>
                <a:spcPct val="100000"/>
              </a:lnSpc>
            </a:pPr>
            <a:r>
              <a:rPr lang="pt-BR" sz="2400" b="1" u="none" strike="noStrike">
                <a:solidFill>
                  <a:srgbClr val="FF0000"/>
                </a:solidFill>
                <a:effectLst/>
                <a:uFillTx/>
                <a:latin typeface="Times New Roman"/>
              </a:rPr>
              <a:t>Critério de Aceitação:</a:t>
            </a:r>
            <a:endParaRPr lang="en-US" sz="24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0</xdr:col>
      <xdr:colOff>76320</xdr:colOff>
      <xdr:row>7</xdr:row>
      <xdr:rowOff>123840</xdr:rowOff>
    </xdr:from>
    <xdr:to>
      <xdr:col>6</xdr:col>
      <xdr:colOff>467640</xdr:colOff>
      <xdr:row>28</xdr:row>
      <xdr:rowOff>18000</xdr:rowOff>
    </xdr:to>
    <xdr:pic>
      <xdr:nvPicPr>
        <xdr:cNvPr id="5" name="Imagem 4"/>
        <xdr:cNvPicPr/>
      </xdr:nvPicPr>
      <xdr:blipFill>
        <a:blip r:embed="rId2"/>
        <a:stretch/>
      </xdr:blipFill>
      <xdr:spPr>
        <a:xfrm>
          <a:off x="76320" y="1517040"/>
          <a:ext cx="8852760" cy="389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116280</xdr:colOff>
      <xdr:row>0</xdr:row>
      <xdr:rowOff>86760</xdr:rowOff>
    </xdr:from>
    <xdr:to>
      <xdr:col>18</xdr:col>
      <xdr:colOff>219600</xdr:colOff>
      <xdr:row>22</xdr:row>
      <xdr:rowOff>47520</xdr:rowOff>
    </xdr:to>
    <xdr:pic>
      <xdr:nvPicPr>
        <xdr:cNvPr id="6" name="Imagem 2"/>
        <xdr:cNvPicPr/>
      </xdr:nvPicPr>
      <xdr:blipFill>
        <a:blip r:embed="rId1"/>
        <a:stretch/>
      </xdr:blipFill>
      <xdr:spPr>
        <a:xfrm>
          <a:off x="10740960" y="86760"/>
          <a:ext cx="9387000" cy="4151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23760</xdr:rowOff>
    </xdr:from>
    <xdr:to>
      <xdr:col>14</xdr:col>
      <xdr:colOff>304560</xdr:colOff>
      <xdr:row>16</xdr:row>
      <xdr:rowOff>99720</xdr:rowOff>
    </xdr:to>
    <xdr:graphicFrame>
      <xdr:nvGraphicFramePr>
        <xdr:cNvPr id="7" name="Gráfico 3"/>
        <xdr:cNvGraphicFramePr/>
      </xdr:nvGraphicFramePr>
      <xdr:xfrm>
        <a:off x="5311800" y="404640"/>
        <a:ext cx="5616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228600</xdr:colOff>
      <xdr:row>29</xdr:row>
      <xdr:rowOff>152280</xdr:rowOff>
    </xdr:from>
    <xdr:to>
      <xdr:col>14</xdr:col>
      <xdr:colOff>533160</xdr:colOff>
      <xdr:row>44</xdr:row>
      <xdr:rowOff>37800</xdr:rowOff>
    </xdr:to>
    <xdr:graphicFrame>
      <xdr:nvGraphicFramePr>
        <xdr:cNvPr id="8" name="g"/>
        <xdr:cNvGraphicFramePr/>
      </xdr:nvGraphicFramePr>
      <xdr:xfrm>
        <a:off x="6222960" y="5676840"/>
        <a:ext cx="5616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0.799961543391873</cdr:x>
      <cdr:y>0.427034120734908</cdr:y>
    </cdr:from>
    <cdr:to>
      <cdr:x>0.999871811306243</cdr:x>
      <cdr:y>0.760236220472441</cdr:y>
    </cdr:to>
    <cdr:sp>
      <cdr:nvSpPr>
        <cdr:cNvPr id="9" name="CaixaDeTexto 1"/>
        <cdr:cNvSpPr/>
      </cdr:nvSpPr>
      <cdr:spPr>
        <a:xfrm>
          <a:off x="4493160" y="1171440"/>
          <a:ext cx="1122840" cy="914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335880</xdr:colOff>
      <xdr:row>3</xdr:row>
      <xdr:rowOff>174960</xdr:rowOff>
    </xdr:from>
    <xdr:to>
      <xdr:col>13</xdr:col>
      <xdr:colOff>605880</xdr:colOff>
      <xdr:row>17</xdr:row>
      <xdr:rowOff>189000</xdr:rowOff>
    </xdr:to>
    <xdr:graphicFrame>
      <xdr:nvGraphicFramePr>
        <xdr:cNvPr id="10" name="Gráfico 2"/>
        <xdr:cNvGraphicFramePr/>
      </xdr:nvGraphicFramePr>
      <xdr:xfrm>
        <a:off x="6076440" y="746640"/>
        <a:ext cx="5581440" cy="268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379080</xdr:colOff>
      <xdr:row>20</xdr:row>
      <xdr:rowOff>10080</xdr:rowOff>
    </xdr:from>
    <xdr:to>
      <xdr:col>14</xdr:col>
      <xdr:colOff>548280</xdr:colOff>
      <xdr:row>35</xdr:row>
      <xdr:rowOff>186120</xdr:rowOff>
    </xdr:to>
    <xdr:pic>
      <xdr:nvPicPr>
        <xdr:cNvPr id="11" name="Imagem 3"/>
        <xdr:cNvPicPr/>
      </xdr:nvPicPr>
      <xdr:blipFill>
        <a:blip r:embed="rId2"/>
        <a:stretch/>
      </xdr:blipFill>
      <xdr:spPr>
        <a:xfrm>
          <a:off x="6119640" y="3819960"/>
          <a:ext cx="6239520" cy="3033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174240</xdr:colOff>
      <xdr:row>13</xdr:row>
      <xdr:rowOff>184320</xdr:rowOff>
    </xdr:from>
    <xdr:to>
      <xdr:col>19</xdr:col>
      <xdr:colOff>322920</xdr:colOff>
      <xdr:row>23</xdr:row>
      <xdr:rowOff>66600</xdr:rowOff>
    </xdr:to>
    <xdr:pic>
      <xdr:nvPicPr>
        <xdr:cNvPr id="12" name="Imagem 4"/>
        <xdr:cNvPicPr/>
      </xdr:nvPicPr>
      <xdr:blipFill>
        <a:blip r:embed="rId3"/>
        <a:stretch/>
      </xdr:blipFill>
      <xdr:spPr>
        <a:xfrm>
          <a:off x="12744000" y="2660760"/>
          <a:ext cx="3835080" cy="1787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163800</xdr:colOff>
      <xdr:row>24</xdr:row>
      <xdr:rowOff>102240</xdr:rowOff>
    </xdr:from>
    <xdr:to>
      <xdr:col>20</xdr:col>
      <xdr:colOff>545760</xdr:colOff>
      <xdr:row>39</xdr:row>
      <xdr:rowOff>144720</xdr:rowOff>
    </xdr:to>
    <xdr:pic>
      <xdr:nvPicPr>
        <xdr:cNvPr id="13" name="Imagem 5"/>
        <xdr:cNvPicPr/>
      </xdr:nvPicPr>
      <xdr:blipFill>
        <a:blip r:embed="rId4"/>
        <a:stretch/>
      </xdr:blipFill>
      <xdr:spPr>
        <a:xfrm>
          <a:off x="12733560" y="4674240"/>
          <a:ext cx="4826880" cy="2900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S5" activeCellId="0" sqref="S5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A2" s="0" t="n">
        <v>1</v>
      </c>
      <c r="B2" s="0" t="n">
        <v>500</v>
      </c>
      <c r="C2" s="0" t="n">
        <v>0.764</v>
      </c>
    </row>
    <row r="3" customFormat="false" ht="15" hidden="false" customHeight="false" outlineLevel="0" collapsed="false">
      <c r="A3" s="0" t="n">
        <v>2</v>
      </c>
      <c r="B3" s="0" t="n">
        <v>500</v>
      </c>
      <c r="C3" s="0" t="n">
        <v>0.716</v>
      </c>
    </row>
    <row r="4" customFormat="false" ht="15" hidden="false" customHeight="false" outlineLevel="0" collapsed="false">
      <c r="A4" s="0" t="n">
        <v>3</v>
      </c>
      <c r="B4" s="0" t="n">
        <v>500</v>
      </c>
      <c r="C4" s="0" t="n">
        <v>0.82</v>
      </c>
    </row>
    <row r="5" customFormat="false" ht="15" hidden="false" customHeight="false" outlineLevel="0" collapsed="false">
      <c r="A5" s="0" t="n">
        <v>4</v>
      </c>
      <c r="B5" s="0" t="n">
        <v>800</v>
      </c>
      <c r="C5" s="0" t="n">
        <v>1.606</v>
      </c>
      <c r="P5" s="0" t="n">
        <f aca="false" t="array" ref="P5:Q9">LINEST(C2:C19,B2:B19,1,1)</f>
        <v>0.00451103492063492</v>
      </c>
      <c r="Q5" s="0" t="n">
        <v>-1.76510476190476</v>
      </c>
    </row>
    <row r="6" customFormat="false" ht="15" hidden="false" customHeight="false" outlineLevel="0" collapsed="false">
      <c r="A6" s="0" t="n">
        <v>5</v>
      </c>
      <c r="B6" s="0" t="n">
        <v>800</v>
      </c>
      <c r="C6" s="0" t="n">
        <v>1.684</v>
      </c>
      <c r="P6" s="0" t="n">
        <v>0.000125837651403672</v>
      </c>
      <c r="Q6" s="0" t="n">
        <v>0.169997305808637</v>
      </c>
    </row>
    <row r="7" customFormat="false" ht="15" hidden="false" customHeight="false" outlineLevel="0" collapsed="false">
      <c r="A7" s="0" t="n">
        <v>6</v>
      </c>
      <c r="B7" s="0" t="n">
        <v>800</v>
      </c>
      <c r="C7" s="0" t="n">
        <v>1.538</v>
      </c>
      <c r="P7" s="0" t="n">
        <v>0.98770255216996</v>
      </c>
      <c r="Q7" s="0" t="n">
        <v>0.273534122301939</v>
      </c>
    </row>
    <row r="8" customFormat="false" ht="15" hidden="false" customHeight="false" outlineLevel="0" collapsed="false">
      <c r="A8" s="0" t="n">
        <v>7</v>
      </c>
      <c r="B8" s="0" t="n">
        <v>1100</v>
      </c>
      <c r="C8" s="0" t="n">
        <v>2.932</v>
      </c>
      <c r="P8" s="0" t="n">
        <v>1285.08297438071</v>
      </c>
      <c r="Q8" s="0" t="n">
        <v>16</v>
      </c>
    </row>
    <row r="9" customFormat="false" ht="15" hidden="false" customHeight="false" outlineLevel="0" collapsed="false">
      <c r="A9" s="0" t="n">
        <v>8</v>
      </c>
      <c r="B9" s="0" t="n">
        <v>1100</v>
      </c>
      <c r="C9" s="0" t="n">
        <v>3.34</v>
      </c>
      <c r="P9" s="0" t="n">
        <v>96.1510853607619</v>
      </c>
      <c r="Q9" s="0" t="n">
        <v>1.19713465701587</v>
      </c>
    </row>
    <row r="10" customFormat="false" ht="15" hidden="false" customHeight="false" outlineLevel="0" collapsed="false">
      <c r="A10" s="0" t="n">
        <v>9</v>
      </c>
      <c r="B10" s="0" t="n">
        <v>1100</v>
      </c>
      <c r="C10" s="0" t="n">
        <v>3.2464</v>
      </c>
    </row>
    <row r="11" customFormat="false" ht="15" hidden="false" customHeight="false" outlineLevel="0" collapsed="false">
      <c r="A11" s="0" t="n">
        <v>10</v>
      </c>
      <c r="B11" s="0" t="n">
        <v>1400</v>
      </c>
      <c r="C11" s="0" t="n">
        <v>4.466</v>
      </c>
    </row>
    <row r="12" customFormat="false" ht="15" hidden="false" customHeight="false" outlineLevel="0" collapsed="false">
      <c r="A12" s="0" t="n">
        <v>11</v>
      </c>
      <c r="B12" s="0" t="n">
        <v>1400</v>
      </c>
      <c r="C12" s="0" t="n">
        <v>4.626</v>
      </c>
    </row>
    <row r="13" customFormat="false" ht="15" hidden="false" customHeight="false" outlineLevel="0" collapsed="false">
      <c r="A13" s="0" t="n">
        <v>12</v>
      </c>
      <c r="B13" s="0" t="n">
        <v>1400</v>
      </c>
      <c r="C13" s="0" t="n">
        <v>4.44</v>
      </c>
    </row>
    <row r="14" customFormat="false" ht="15" hidden="false" customHeight="false" outlineLevel="0" collapsed="false">
      <c r="A14" s="0" t="n">
        <v>13</v>
      </c>
      <c r="B14" s="0" t="n">
        <v>1700</v>
      </c>
      <c r="C14" s="0" t="n">
        <v>5.402</v>
      </c>
    </row>
    <row r="15" customFormat="false" ht="15" hidden="false" customHeight="false" outlineLevel="0" collapsed="false">
      <c r="A15" s="0" t="n">
        <v>14</v>
      </c>
      <c r="B15" s="0" t="n">
        <v>1700</v>
      </c>
      <c r="C15" s="0" t="n">
        <v>5.632</v>
      </c>
    </row>
    <row r="16" customFormat="false" ht="15" hidden="false" customHeight="false" outlineLevel="0" collapsed="false">
      <c r="A16" s="0" t="n">
        <v>15</v>
      </c>
      <c r="B16" s="0" t="n">
        <v>1700</v>
      </c>
      <c r="C16" s="0" t="n">
        <v>5.802</v>
      </c>
    </row>
    <row r="17" customFormat="false" ht="15" hidden="false" customHeight="false" outlineLevel="0" collapsed="false">
      <c r="A17" s="0" t="n">
        <v>16</v>
      </c>
      <c r="B17" s="0" t="n">
        <v>2000</v>
      </c>
      <c r="C17" s="0" t="n">
        <v>7.43</v>
      </c>
    </row>
    <row r="18" customFormat="false" ht="15" hidden="false" customHeight="false" outlineLevel="0" collapsed="false">
      <c r="A18" s="0" t="n">
        <v>17</v>
      </c>
      <c r="B18" s="0" t="n">
        <v>2000</v>
      </c>
      <c r="C18" s="0" t="n">
        <v>7.576</v>
      </c>
    </row>
    <row r="19" customFormat="false" ht="15" hidden="false" customHeight="false" outlineLevel="0" collapsed="false">
      <c r="A19" s="0" t="n">
        <v>18</v>
      </c>
      <c r="B19" s="0" t="n">
        <v>2000</v>
      </c>
      <c r="C19" s="0" t="n">
        <v>7.706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1" style="0" width="23.57"/>
    <col collapsed="false" customWidth="true" hidden="false" outlineLevel="0" max="3" min="3" style="0" width="22.43"/>
    <col collapsed="false" customWidth="true" hidden="false" outlineLevel="0" max="9" min="9" style="0" width="14"/>
    <col collapsed="false" customWidth="true" hidden="false" outlineLevel="0" max="11" min="11" style="0" width="12.72"/>
    <col collapsed="false" customWidth="true" hidden="false" outlineLevel="0" max="13" min="13" style="0" width="9.29"/>
    <col collapsed="false" customWidth="true" hidden="false" outlineLevel="0" max="14" min="14" style="0" width="15.72"/>
  </cols>
  <sheetData>
    <row r="1" customFormat="false" ht="15" hidden="false" customHeight="false" outlineLevel="0" collapsed="false">
      <c r="A1" s="0" t="s">
        <v>2</v>
      </c>
    </row>
    <row r="2" customFormat="false" ht="15" hidden="false" customHeight="false" outlineLevel="0" collapsed="false">
      <c r="J2" s="1" t="s">
        <v>3</v>
      </c>
      <c r="K2" s="1" t="s">
        <v>3</v>
      </c>
      <c r="L2" s="1" t="s">
        <v>3</v>
      </c>
      <c r="M2" s="1" t="s">
        <v>3</v>
      </c>
      <c r="N2" s="1" t="s">
        <v>4</v>
      </c>
    </row>
    <row r="4" customFormat="false" ht="19.7" hidden="false" customHeight="false" outlineLevel="0" collapsed="false">
      <c r="D4" s="0" t="s">
        <v>5</v>
      </c>
      <c r="E4" s="0" t="s">
        <v>6</v>
      </c>
      <c r="F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2" t="s">
        <v>14</v>
      </c>
    </row>
    <row r="5" customFormat="false" ht="15" hidden="false" customHeight="false" outlineLevel="0" collapsed="false">
      <c r="A5" s="3" t="s">
        <v>15</v>
      </c>
      <c r="B5" s="3" t="s">
        <v>16</v>
      </c>
      <c r="C5" s="0" t="s">
        <v>17</v>
      </c>
      <c r="D5" s="0" t="n">
        <v>4.16</v>
      </c>
      <c r="E5" s="0" t="n">
        <v>4.74</v>
      </c>
      <c r="F5" s="0" t="n">
        <v>5.46</v>
      </c>
      <c r="H5" s="4"/>
      <c r="I5" s="4"/>
      <c r="J5" s="5"/>
    </row>
    <row r="6" customFormat="false" ht="15" hidden="false" customHeight="false" outlineLevel="0" collapsed="false">
      <c r="A6" s="3" t="n">
        <v>1480</v>
      </c>
      <c r="B6" s="6" t="n">
        <v>39.5</v>
      </c>
      <c r="C6" s="0" t="s">
        <v>18</v>
      </c>
      <c r="D6" s="7"/>
      <c r="E6" s="7"/>
      <c r="F6" s="7"/>
      <c r="H6" s="8" t="e">
        <f aca="false">AVERAGE(D6:F6)</f>
        <v>#DIV/0!</v>
      </c>
      <c r="I6" s="8" t="e">
        <f aca="false">_xlfn.STDEV.S(D6:F6)</f>
        <v>#DIV/0!</v>
      </c>
      <c r="J6" s="5" t="e">
        <f aca="false">I6/H6</f>
        <v>#DIV/0!</v>
      </c>
      <c r="K6" s="5" t="e">
        <f aca="false">(H6-A6)/A6</f>
        <v>#DIV/0!</v>
      </c>
      <c r="L6" s="0" t="e">
        <f aca="false">(H6-A6)/I6</f>
        <v>#DIV/0!</v>
      </c>
      <c r="M6" s="0" t="e">
        <f aca="false">(H6-A6)*SQRT(3/I6)</f>
        <v>#DIV/0!</v>
      </c>
      <c r="N6" s="1" t="n">
        <v>4.3</v>
      </c>
    </row>
    <row r="7" customFormat="false" ht="15" hidden="false" customHeight="false" outlineLevel="0" collapsed="false">
      <c r="B7" s="5" t="n">
        <f aca="false">B6/A6</f>
        <v>0.0266891891891892</v>
      </c>
      <c r="C7" s="5"/>
      <c r="D7" s="9" t="s">
        <v>19</v>
      </c>
      <c r="E7" s="9"/>
      <c r="F7" s="9"/>
    </row>
    <row r="19" customFormat="false" ht="15" hidden="false" customHeight="false" outlineLevel="0" collapsed="false">
      <c r="I19" s="10"/>
      <c r="J19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3" activeCellId="0" sqref="E3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0.14"/>
    <col collapsed="false" customWidth="true" hidden="false" outlineLevel="0" max="4" min="2" style="0" width="12.14"/>
    <col collapsed="false" customWidth="true" hidden="false" outlineLevel="0" max="5" min="5" style="0" width="19.94"/>
    <col collapsed="false" customWidth="true" hidden="false" outlineLevel="0" max="6" min="6" style="0" width="13.86"/>
    <col collapsed="false" customWidth="true" hidden="false" outlineLevel="0" max="7" min="7" style="0" width="15.29"/>
    <col collapsed="false" customWidth="true" hidden="false" outlineLevel="0" max="9" min="8" style="0" width="13.86"/>
    <col collapsed="false" customWidth="true" hidden="false" outlineLevel="0" max="10" min="10" style="0" width="22.28"/>
  </cols>
  <sheetData>
    <row r="1" customFormat="false" ht="15" hidden="false" customHeight="false" outlineLevel="0" collapsed="false">
      <c r="E1" s="0" t="s">
        <v>20</v>
      </c>
      <c r="F1" s="0" t="s">
        <v>21</v>
      </c>
      <c r="G1" s="0" t="s">
        <v>22</v>
      </c>
      <c r="H1" s="0" t="s">
        <v>23</v>
      </c>
    </row>
    <row r="2" customFormat="false" ht="15" hidden="false" customHeight="false" outlineLevel="0" collapsed="false">
      <c r="A2" s="0" t="s">
        <v>0</v>
      </c>
      <c r="B2" s="0" t="s">
        <v>1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</row>
    <row r="3" customFormat="false" ht="15" hidden="false" customHeight="false" outlineLevel="0" collapsed="false">
      <c r="A3" s="0" t="n">
        <v>500</v>
      </c>
      <c r="B3" s="0" t="n">
        <v>0.764</v>
      </c>
      <c r="C3" s="11" t="n">
        <f aca="false">AVERAGE(B3:B5)</f>
        <v>0.766666666666667</v>
      </c>
      <c r="D3" s="0" t="n">
        <f aca="false">A3*H$27+I$27</f>
        <v>0.4899</v>
      </c>
      <c r="E3" s="0" t="n">
        <f aca="false">(B3-B$21)^2</f>
        <v>9.67016498567901</v>
      </c>
      <c r="F3" s="0" t="n">
        <f aca="false">(E3-D3)^2</f>
        <v>84.2772652072841</v>
      </c>
    </row>
    <row r="4" customFormat="false" ht="15" hidden="false" customHeight="false" outlineLevel="0" collapsed="false">
      <c r="A4" s="0" t="n">
        <v>500</v>
      </c>
      <c r="B4" s="0" t="n">
        <v>0.716</v>
      </c>
      <c r="C4" s="11" t="n">
        <f aca="false">AVERAGE(B3:B5)</f>
        <v>0.766666666666667</v>
      </c>
      <c r="D4" s="0" t="n">
        <f aca="false">A4*H$27+I$27</f>
        <v>0.4899</v>
      </c>
      <c r="E4" s="0" t="n">
        <f aca="false">(B4-B$21)^2</f>
        <v>9.97099911901235</v>
      </c>
    </row>
    <row r="5" customFormat="false" ht="15" hidden="false" customHeight="false" outlineLevel="0" collapsed="false">
      <c r="A5" s="0" t="n">
        <v>500</v>
      </c>
      <c r="B5" s="0" t="n">
        <v>0.82</v>
      </c>
      <c r="C5" s="11" t="n">
        <f aca="false">AVERAGE(B3:B5)</f>
        <v>0.766666666666667</v>
      </c>
      <c r="D5" s="0" t="n">
        <f aca="false">A5*H$27+I$27</f>
        <v>0.4899</v>
      </c>
      <c r="E5" s="0" t="n">
        <f aca="false">(B5-B$21)^2</f>
        <v>9.32501583012346</v>
      </c>
    </row>
    <row r="6" customFormat="false" ht="15" hidden="false" customHeight="false" outlineLevel="0" collapsed="false">
      <c r="A6" s="0" t="n">
        <v>800</v>
      </c>
      <c r="B6" s="0" t="n">
        <v>1.606</v>
      </c>
      <c r="C6" s="11" t="n">
        <f aca="false">AVERAGE(B6:B8)</f>
        <v>1.60933333333333</v>
      </c>
      <c r="D6" s="0" t="n">
        <f aca="false">A6*H$27+I$27</f>
        <v>1.8429</v>
      </c>
      <c r="E6" s="0" t="n">
        <f aca="false">(B6-B$21)^2</f>
        <v>5.14241289679012</v>
      </c>
    </row>
    <row r="7" customFormat="false" ht="15" hidden="false" customHeight="false" outlineLevel="0" collapsed="false">
      <c r="A7" s="0" t="n">
        <v>800</v>
      </c>
      <c r="B7" s="0" t="n">
        <v>1.684</v>
      </c>
      <c r="C7" s="11" t="n">
        <f aca="false">AVERAGE(B6:B8)</f>
        <v>1.60933333333333</v>
      </c>
      <c r="D7" s="0" t="n">
        <f aca="false">A7*H$27+I$27</f>
        <v>1.8429</v>
      </c>
      <c r="E7" s="0" t="n">
        <f aca="false">(B7-B$21)^2</f>
        <v>4.79473743012346</v>
      </c>
    </row>
    <row r="8" customFormat="false" ht="15" hidden="false" customHeight="false" outlineLevel="0" collapsed="false">
      <c r="A8" s="0" t="n">
        <v>800</v>
      </c>
      <c r="B8" s="0" t="n">
        <v>1.538</v>
      </c>
      <c r="C8" s="11" t="n">
        <f aca="false">AVERAGE(B6:B8)</f>
        <v>1.60933333333333</v>
      </c>
      <c r="D8" s="0" t="n">
        <f aca="false">A8*H$27+I$27</f>
        <v>1.8429</v>
      </c>
      <c r="E8" s="0" t="n">
        <f aca="false">(B8-B$21)^2</f>
        <v>5.45544258567901</v>
      </c>
    </row>
    <row r="9" customFormat="false" ht="15" hidden="false" customHeight="false" outlineLevel="0" collapsed="false">
      <c r="A9" s="0" t="n">
        <v>1100</v>
      </c>
      <c r="B9" s="0" t="n">
        <v>2.932</v>
      </c>
      <c r="C9" s="11" t="n">
        <f aca="false">AVERAGE(B9:B11)</f>
        <v>3.1728</v>
      </c>
      <c r="D9" s="0" t="n">
        <f aca="false">A9*H$27+I$27</f>
        <v>3.1959</v>
      </c>
      <c r="E9" s="0" t="n">
        <f aca="false">(B9-B$21)^2</f>
        <v>0.88677796345679</v>
      </c>
    </row>
    <row r="10" customFormat="false" ht="15" hidden="false" customHeight="false" outlineLevel="0" collapsed="false">
      <c r="A10" s="0" t="n">
        <v>1100</v>
      </c>
      <c r="B10" s="0" t="n">
        <v>3.34</v>
      </c>
      <c r="C10" s="11" t="n">
        <f aca="false">AVERAGE(B9:B11)</f>
        <v>3.1728</v>
      </c>
      <c r="D10" s="0" t="n">
        <f aca="false">A10*H$27+I$27</f>
        <v>3.1959</v>
      </c>
      <c r="E10" s="0" t="n">
        <f aca="false">(B10-B$21)^2</f>
        <v>0.284823830123457</v>
      </c>
    </row>
    <row r="11" customFormat="false" ht="15" hidden="false" customHeight="false" outlineLevel="0" collapsed="false">
      <c r="A11" s="0" t="n">
        <v>1100</v>
      </c>
      <c r="B11" s="0" t="n">
        <v>3.2464</v>
      </c>
      <c r="C11" s="11" t="n">
        <f aca="false">AVERAGE(B9:B11)</f>
        <v>3.1728</v>
      </c>
      <c r="D11" s="0" t="n">
        <f aca="false">A11*H$27+I$27</f>
        <v>3.1959</v>
      </c>
      <c r="E11" s="0" t="n">
        <f aca="false">(B11-B$21)^2</f>
        <v>0.393491350123457</v>
      </c>
    </row>
    <row r="12" customFormat="false" ht="15" hidden="false" customHeight="false" outlineLevel="0" collapsed="false">
      <c r="A12" s="0" t="n">
        <v>1400</v>
      </c>
      <c r="B12" s="0" t="n">
        <v>4.466</v>
      </c>
      <c r="C12" s="11" t="n">
        <f aca="false">AVERAGE(B12:B14)</f>
        <v>4.51066666666667</v>
      </c>
      <c r="D12" s="0" t="n">
        <f aca="false">A12*H$27+I$27</f>
        <v>4.5489</v>
      </c>
      <c r="E12" s="0" t="n">
        <f aca="false">(B12-B$21)^2</f>
        <v>0.350832452345679</v>
      </c>
      <c r="K12" s="5"/>
    </row>
    <row r="13" customFormat="false" ht="15" hidden="false" customHeight="false" outlineLevel="0" collapsed="false">
      <c r="A13" s="0" t="n">
        <v>1400</v>
      </c>
      <c r="B13" s="0" t="n">
        <v>4.626</v>
      </c>
      <c r="C13" s="11" t="n">
        <f aca="false">AVERAGE(B12:B14)</f>
        <v>4.51066666666667</v>
      </c>
      <c r="D13" s="0" t="n">
        <f aca="false">A13*H$27+I$27</f>
        <v>4.5489</v>
      </c>
      <c r="E13" s="0" t="n">
        <f aca="false">(B13-B$21)^2</f>
        <v>0.565972007901235</v>
      </c>
    </row>
    <row r="14" customFormat="false" ht="15" hidden="false" customHeight="false" outlineLevel="0" collapsed="false">
      <c r="A14" s="0" t="n">
        <v>1400</v>
      </c>
      <c r="B14" s="0" t="n">
        <v>4.44</v>
      </c>
      <c r="C14" s="11" t="n">
        <f aca="false">AVERAGE(B12:B14)</f>
        <v>4.51066666666667</v>
      </c>
      <c r="D14" s="0" t="n">
        <f aca="false">A14*H$27+I$27</f>
        <v>4.5489</v>
      </c>
      <c r="E14" s="0" t="n">
        <f aca="false">(B14-B$21)^2</f>
        <v>0.320708274567902</v>
      </c>
    </row>
    <row r="15" customFormat="false" ht="15" hidden="false" customHeight="false" outlineLevel="0" collapsed="false">
      <c r="A15" s="0" t="n">
        <v>1700</v>
      </c>
      <c r="B15" s="0" t="n">
        <v>5.402</v>
      </c>
      <c r="C15" s="11" t="n">
        <f aca="false">AVERAGE(B15:B17)</f>
        <v>5.612</v>
      </c>
      <c r="D15" s="0" t="n">
        <f aca="false">A15*H$27+I$27</f>
        <v>5.9019</v>
      </c>
      <c r="E15" s="0" t="n">
        <f aca="false">(B15-B$21)^2</f>
        <v>2.33573485234568</v>
      </c>
    </row>
    <row r="16" customFormat="false" ht="15" hidden="false" customHeight="false" outlineLevel="0" collapsed="false">
      <c r="A16" s="0" t="n">
        <v>1700</v>
      </c>
      <c r="B16" s="0" t="n">
        <v>5.632</v>
      </c>
      <c r="C16" s="11" t="n">
        <f aca="false">AVERAGE(B15:B17)</f>
        <v>5.612</v>
      </c>
      <c r="D16" s="0" t="n">
        <f aca="false">A16*H$27+I$27</f>
        <v>5.9019</v>
      </c>
      <c r="E16" s="0" t="n">
        <f aca="false">(B16-B$21)^2</f>
        <v>3.09165796345679</v>
      </c>
    </row>
    <row r="17" customFormat="false" ht="15" hidden="false" customHeight="false" outlineLevel="0" collapsed="false">
      <c r="A17" s="0" t="n">
        <v>1700</v>
      </c>
      <c r="B17" s="0" t="n">
        <v>5.802</v>
      </c>
      <c r="C17" s="11" t="n">
        <f aca="false">AVERAGE(B15:B17)</f>
        <v>5.612</v>
      </c>
      <c r="D17" s="0" t="n">
        <f aca="false">A17*H$27+I$27</f>
        <v>5.9019</v>
      </c>
      <c r="E17" s="0" t="n">
        <f aca="false">(B17-B$21)^2</f>
        <v>3.71838374123457</v>
      </c>
    </row>
    <row r="18" customFormat="false" ht="15" hidden="false" customHeight="false" outlineLevel="0" collapsed="false">
      <c r="A18" s="0" t="n">
        <v>2000</v>
      </c>
      <c r="B18" s="0" t="n">
        <v>7.43</v>
      </c>
      <c r="C18" s="11" t="n">
        <f aca="false">AVERAGE(B18:B20)</f>
        <v>7.57066666666667</v>
      </c>
      <c r="D18" s="0" t="n">
        <f aca="false">A18*H$27+I$27</f>
        <v>7.2549</v>
      </c>
      <c r="E18" s="0" t="n">
        <f aca="false">(B18-B$21)^2</f>
        <v>12.6473487190123</v>
      </c>
    </row>
    <row r="19" customFormat="false" ht="15" hidden="false" customHeight="false" outlineLevel="0" collapsed="false">
      <c r="A19" s="0" t="n">
        <v>2000</v>
      </c>
      <c r="B19" s="0" t="n">
        <v>7.576</v>
      </c>
      <c r="C19" s="11" t="n">
        <f aca="false">AVERAGE(B18:B20)</f>
        <v>7.57066666666667</v>
      </c>
      <c r="D19" s="0" t="n">
        <f aca="false">A19*H$27+I$27</f>
        <v>7.2549</v>
      </c>
      <c r="E19" s="0" t="n">
        <f aca="false">(B19-B$21)^2</f>
        <v>13.7071075634568</v>
      </c>
    </row>
    <row r="20" customFormat="false" ht="15" hidden="false" customHeight="false" outlineLevel="0" collapsed="false">
      <c r="A20" s="0" t="n">
        <v>2000</v>
      </c>
      <c r="B20" s="0" t="n">
        <v>7.706</v>
      </c>
      <c r="C20" s="11" t="n">
        <f aca="false">AVERAGE(B18:B20)</f>
        <v>7.57066666666667</v>
      </c>
      <c r="D20" s="0" t="n">
        <f aca="false">A20*H$27+I$27</f>
        <v>7.2549</v>
      </c>
      <c r="E20" s="0" t="n">
        <f aca="false">(B20-B$21)^2</f>
        <v>14.6866084523457</v>
      </c>
    </row>
    <row r="21" customFormat="false" ht="15" hidden="false" customHeight="false" outlineLevel="0" collapsed="false">
      <c r="A21" s="0" t="s">
        <v>30</v>
      </c>
      <c r="B21" s="0" t="n">
        <f aca="false">AVERAGE(B3:B20)</f>
        <v>3.87368888888889</v>
      </c>
      <c r="E21" s="0" t="n">
        <f aca="false">SUM(E3:E20)</f>
        <v>97.3482200177778</v>
      </c>
      <c r="F21" s="0" t="n">
        <f aca="false">SUM(F3:F20)</f>
        <v>84.2772652072841</v>
      </c>
      <c r="G21" s="0" t="n">
        <f aca="false">SUM(G3:G20)</f>
        <v>0</v>
      </c>
      <c r="H21" s="0" t="n">
        <f aca="false">SUM(H3:H20)</f>
        <v>0</v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</row>
    <row r="23" customFormat="false" ht="15" hidden="false" customHeight="false" outlineLevel="0" collapsed="false">
      <c r="A23" s="13" t="s">
        <v>31</v>
      </c>
      <c r="B23" s="14" t="s">
        <v>32</v>
      </c>
      <c r="C23" s="14" t="s">
        <v>33</v>
      </c>
      <c r="D23" s="14" t="s">
        <v>34</v>
      </c>
      <c r="E23" s="14" t="s">
        <v>35</v>
      </c>
      <c r="F23" s="15" t="s">
        <v>36</v>
      </c>
    </row>
    <row r="24" customFormat="false" ht="15" hidden="false" customHeight="false" outlineLevel="0" collapsed="false">
      <c r="A24" s="13" t="s">
        <v>37</v>
      </c>
      <c r="B24" s="14" t="n">
        <f aca="false">SUM(E3:E20)</f>
        <v>97.3482200177778</v>
      </c>
      <c r="C24" s="14" t="n">
        <f aca="false">2-1</f>
        <v>1</v>
      </c>
      <c r="D24" s="14" t="n">
        <f aca="false">B24/C24</f>
        <v>97.3482200177778</v>
      </c>
      <c r="E24" s="14"/>
      <c r="F24" s="16"/>
    </row>
    <row r="25" customFormat="false" ht="15" hidden="false" customHeight="false" outlineLevel="0" collapsed="false">
      <c r="A25" s="13" t="s">
        <v>38</v>
      </c>
      <c r="B25" s="14" t="n">
        <f aca="false">SUM(F3:F20)</f>
        <v>84.2772652072841</v>
      </c>
      <c r="C25" s="14"/>
      <c r="D25" s="14" t="e">
        <f aca="false">B25/C25</f>
        <v>#DIV/0!</v>
      </c>
      <c r="E25" s="14" t="e">
        <f aca="false">D24/D25</f>
        <v>#DIV/0!</v>
      </c>
      <c r="F25" s="16"/>
    </row>
    <row r="26" customFormat="false" ht="15" hidden="false" customHeight="false" outlineLevel="0" collapsed="false">
      <c r="A26" s="13" t="s">
        <v>39</v>
      </c>
      <c r="B26" s="14" t="n">
        <f aca="false">SUM(G3:G20)</f>
        <v>0</v>
      </c>
      <c r="C26" s="14"/>
      <c r="D26" s="14" t="e">
        <f aca="false">B26/C26</f>
        <v>#DIV/0!</v>
      </c>
      <c r="E26" s="14"/>
      <c r="F26" s="15" t="s">
        <v>40</v>
      </c>
      <c r="M26" s="0" t="s">
        <v>41</v>
      </c>
      <c r="N26" s="0" t="n">
        <v>2</v>
      </c>
      <c r="O26" s="0" t="s">
        <v>42</v>
      </c>
    </row>
    <row r="27" customFormat="false" ht="15" hidden="false" customHeight="false" outlineLevel="0" collapsed="false">
      <c r="A27" s="13" t="s">
        <v>23</v>
      </c>
      <c r="B27" s="14" t="n">
        <f aca="false">SUM(H3:H20)</f>
        <v>0</v>
      </c>
      <c r="C27" s="14"/>
      <c r="D27" s="14" t="e">
        <f aca="false">B27/C27</f>
        <v>#DIV/0!</v>
      </c>
      <c r="E27" s="14" t="e">
        <f aca="false">D26/D27</f>
        <v>#DIV/0!</v>
      </c>
      <c r="F27" s="16"/>
      <c r="H27" s="0" t="n">
        <v>0.00451</v>
      </c>
      <c r="I27" s="0" t="n">
        <v>-1.7651</v>
      </c>
      <c r="M27" s="0" t="s">
        <v>43</v>
      </c>
      <c r="N27" s="0" t="n">
        <v>18</v>
      </c>
    </row>
    <row r="28" customFormat="false" ht="15" hidden="false" customHeight="false" outlineLevel="0" collapsed="false">
      <c r="A28" s="13" t="s">
        <v>44</v>
      </c>
      <c r="B28" s="14" t="n">
        <f aca="false">SUM(B24:B25)</f>
        <v>181.625485225062</v>
      </c>
      <c r="C28" s="14"/>
      <c r="D28" s="14" t="e">
        <f aca="false">B28/C28</f>
        <v>#DIV/0!</v>
      </c>
      <c r="E28" s="14"/>
      <c r="F28" s="16"/>
      <c r="M28" s="0" t="s">
        <v>45</v>
      </c>
      <c r="N28" s="0" t="n">
        <v>6</v>
      </c>
      <c r="P28" s="0" t="s">
        <v>46</v>
      </c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6"/>
    </row>
    <row r="30" customFormat="false" ht="15" hidden="false" customHeight="false" outlineLevel="0" collapsed="false">
      <c r="A30" s="13" t="s">
        <v>47</v>
      </c>
      <c r="B30" s="17" t="n">
        <f aca="false">B24/B28</f>
        <v>0.53598326191475</v>
      </c>
      <c r="C30" s="14"/>
      <c r="D30" s="14"/>
      <c r="E30" s="14"/>
      <c r="F30" s="16"/>
    </row>
    <row r="31" customFormat="false" ht="15" hidden="false" customHeight="false" outlineLevel="0" collapsed="false">
      <c r="A31" s="18" t="s">
        <v>48</v>
      </c>
      <c r="B31" s="19" t="n">
        <f aca="false">(B28-B27)/B28</f>
        <v>1</v>
      </c>
      <c r="C31" s="20"/>
      <c r="D31" s="20"/>
      <c r="E31" s="20"/>
      <c r="F31" s="2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3" activeCellId="0" sqref="F3"/>
    </sheetView>
  </sheetViews>
  <sheetFormatPr defaultColWidth="8.5390625" defaultRowHeight="15" customHeight="false" zeroHeight="false" outlineLevelRow="0" outlineLevelCol="0"/>
  <sheetData>
    <row r="2" customFormat="false" ht="15" hidden="false" customHeight="false" outlineLevel="0" collapsed="false">
      <c r="B2" s="0" t="s">
        <v>0</v>
      </c>
      <c r="C2" s="0" t="s">
        <v>1</v>
      </c>
      <c r="D2" s="0" t="s">
        <v>24</v>
      </c>
      <c r="E2" s="0" t="s">
        <v>25</v>
      </c>
      <c r="F2" s="0" t="s">
        <v>49</v>
      </c>
    </row>
    <row r="3" customFormat="false" ht="15" hidden="false" customHeight="false" outlineLevel="0" collapsed="false">
      <c r="A3" s="0" t="n">
        <v>1</v>
      </c>
      <c r="B3" s="0" t="n">
        <v>500</v>
      </c>
      <c r="C3" s="0" t="n">
        <v>0.764</v>
      </c>
      <c r="D3" s="0" t="n">
        <f aca="false">AVERAGE(C3:C5)</f>
        <v>0.766666666666667</v>
      </c>
      <c r="E3" s="0" t="n">
        <f aca="false">(0.0045*B3)-1.7651</f>
        <v>0.4849</v>
      </c>
      <c r="F3" s="0" t="n">
        <f aca="false">(E3-D3)</f>
        <v>-0.281766666666667</v>
      </c>
    </row>
    <row r="4" customFormat="false" ht="15" hidden="false" customHeight="false" outlineLevel="0" collapsed="false">
      <c r="A4" s="0" t="n">
        <v>2</v>
      </c>
      <c r="B4" s="0" t="n">
        <v>500</v>
      </c>
      <c r="C4" s="0" t="n">
        <v>0.716</v>
      </c>
      <c r="D4" s="0" t="n">
        <f aca="false">AVERAGE(C3:C5)</f>
        <v>0.766666666666667</v>
      </c>
      <c r="E4" s="0" t="n">
        <f aca="false">(0.0045*B4)-1.7651</f>
        <v>0.4849</v>
      </c>
      <c r="F4" s="0" t="n">
        <f aca="false">(E4-D4)</f>
        <v>-0.281766666666667</v>
      </c>
    </row>
    <row r="5" customFormat="false" ht="15" hidden="false" customHeight="false" outlineLevel="0" collapsed="false">
      <c r="A5" s="0" t="n">
        <v>3</v>
      </c>
      <c r="B5" s="0" t="n">
        <v>500</v>
      </c>
      <c r="C5" s="0" t="n">
        <v>0.82</v>
      </c>
      <c r="D5" s="0" t="n">
        <f aca="false">AVERAGE(C3:C5)</f>
        <v>0.766666666666667</v>
      </c>
      <c r="E5" s="0" t="n">
        <f aca="false">(0.0045*B5)-1.7651</f>
        <v>0.4849</v>
      </c>
      <c r="F5" s="0" t="n">
        <f aca="false">(E5-D5)</f>
        <v>-0.281766666666667</v>
      </c>
    </row>
    <row r="6" customFormat="false" ht="15" hidden="false" customHeight="false" outlineLevel="0" collapsed="false">
      <c r="A6" s="0" t="n">
        <v>4</v>
      </c>
      <c r="B6" s="0" t="n">
        <v>800</v>
      </c>
      <c r="C6" s="0" t="n">
        <v>1.606</v>
      </c>
      <c r="D6" s="0" t="n">
        <f aca="false">AVERAGE(C6:C8)</f>
        <v>1.60933333333333</v>
      </c>
      <c r="E6" s="0" t="n">
        <f aca="false">(0.0045*B6)-1.7651</f>
        <v>1.8349</v>
      </c>
      <c r="F6" s="0" t="n">
        <f aca="false">(E6-D6)</f>
        <v>0.225566666666666</v>
      </c>
    </row>
    <row r="7" customFormat="false" ht="15" hidden="false" customHeight="false" outlineLevel="0" collapsed="false">
      <c r="A7" s="0" t="n">
        <v>5</v>
      </c>
      <c r="B7" s="0" t="n">
        <v>800</v>
      </c>
      <c r="C7" s="0" t="n">
        <v>1.684</v>
      </c>
      <c r="D7" s="0" t="n">
        <f aca="false">AVERAGE(C6:C8)</f>
        <v>1.60933333333333</v>
      </c>
      <c r="E7" s="0" t="n">
        <f aca="false">(0.0045*B7)-1.7651</f>
        <v>1.8349</v>
      </c>
      <c r="F7" s="0" t="n">
        <f aca="false">(E7-D7)</f>
        <v>0.225566666666666</v>
      </c>
    </row>
    <row r="8" customFormat="false" ht="15" hidden="false" customHeight="false" outlineLevel="0" collapsed="false">
      <c r="A8" s="0" t="n">
        <v>6</v>
      </c>
      <c r="B8" s="0" t="n">
        <v>800</v>
      </c>
      <c r="C8" s="0" t="n">
        <v>1.538</v>
      </c>
      <c r="D8" s="0" t="n">
        <f aca="false">AVERAGE(C6:C8)</f>
        <v>1.60933333333333</v>
      </c>
      <c r="E8" s="0" t="n">
        <f aca="false">(0.0045*B8)-1.7651</f>
        <v>1.8349</v>
      </c>
      <c r="F8" s="0" t="n">
        <f aca="false">(E8-D8)</f>
        <v>0.225566666666666</v>
      </c>
    </row>
    <row r="9" customFormat="false" ht="15" hidden="false" customHeight="false" outlineLevel="0" collapsed="false">
      <c r="A9" s="0" t="n">
        <v>7</v>
      </c>
      <c r="B9" s="0" t="n">
        <v>1100</v>
      </c>
      <c r="C9" s="0" t="n">
        <v>2.932</v>
      </c>
      <c r="D9" s="0" t="n">
        <f aca="false">AVERAGE(C9:C11)</f>
        <v>3.1728</v>
      </c>
      <c r="E9" s="0" t="n">
        <f aca="false">(0.0045*B9)-1.7651</f>
        <v>3.1849</v>
      </c>
      <c r="F9" s="0" t="n">
        <f aca="false">(E9-D9)</f>
        <v>0.0120999999999993</v>
      </c>
    </row>
    <row r="10" customFormat="false" ht="15" hidden="false" customHeight="false" outlineLevel="0" collapsed="false">
      <c r="A10" s="0" t="n">
        <v>8</v>
      </c>
      <c r="B10" s="0" t="n">
        <v>1100</v>
      </c>
      <c r="C10" s="0" t="n">
        <v>3.34</v>
      </c>
      <c r="D10" s="0" t="n">
        <f aca="false">AVERAGE(C9:C11)</f>
        <v>3.1728</v>
      </c>
      <c r="E10" s="0" t="n">
        <f aca="false">(0.0045*B10)-1.7651</f>
        <v>3.1849</v>
      </c>
      <c r="F10" s="0" t="n">
        <f aca="false">(E10-D10)</f>
        <v>0.0120999999999993</v>
      </c>
    </row>
    <row r="11" customFormat="false" ht="15" hidden="false" customHeight="false" outlineLevel="0" collapsed="false">
      <c r="A11" s="0" t="n">
        <v>9</v>
      </c>
      <c r="B11" s="0" t="n">
        <v>1100</v>
      </c>
      <c r="C11" s="0" t="n">
        <v>3.2464</v>
      </c>
      <c r="D11" s="0" t="n">
        <f aca="false">AVERAGE(C9:C11)</f>
        <v>3.1728</v>
      </c>
      <c r="E11" s="0" t="n">
        <f aca="false">(0.0045*B11)-1.7651</f>
        <v>3.1849</v>
      </c>
      <c r="F11" s="0" t="n">
        <f aca="false">(E11-D11)</f>
        <v>0.0120999999999993</v>
      </c>
    </row>
    <row r="12" customFormat="false" ht="15" hidden="false" customHeight="false" outlineLevel="0" collapsed="false">
      <c r="A12" s="0" t="n">
        <v>10</v>
      </c>
      <c r="B12" s="0" t="n">
        <v>1400</v>
      </c>
      <c r="C12" s="0" t="n">
        <v>4.466</v>
      </c>
      <c r="D12" s="0" t="n">
        <f aca="false">AVERAGE(C12:C14)</f>
        <v>4.51066666666667</v>
      </c>
      <c r="E12" s="0" t="n">
        <f aca="false">(0.0045*B12)-1.7651</f>
        <v>4.5349</v>
      </c>
      <c r="F12" s="0" t="n">
        <f aca="false">(E12-D12)</f>
        <v>0.024233333333334</v>
      </c>
    </row>
    <row r="13" customFormat="false" ht="15" hidden="false" customHeight="false" outlineLevel="0" collapsed="false">
      <c r="A13" s="0" t="n">
        <v>11</v>
      </c>
      <c r="B13" s="0" t="n">
        <v>1400</v>
      </c>
      <c r="C13" s="0" t="n">
        <v>4.626</v>
      </c>
      <c r="D13" s="0" t="n">
        <f aca="false">AVERAGE(C12:C14)</f>
        <v>4.51066666666667</v>
      </c>
      <c r="E13" s="0" t="n">
        <f aca="false">(0.0045*B13)-1.7651</f>
        <v>4.5349</v>
      </c>
      <c r="F13" s="0" t="n">
        <f aca="false">(E13-D13)</f>
        <v>0.024233333333334</v>
      </c>
    </row>
    <row r="14" customFormat="false" ht="15" hidden="false" customHeight="false" outlineLevel="0" collapsed="false">
      <c r="A14" s="0" t="n">
        <v>12</v>
      </c>
      <c r="B14" s="0" t="n">
        <v>1400</v>
      </c>
      <c r="C14" s="0" t="n">
        <v>4.44</v>
      </c>
      <c r="D14" s="0" t="n">
        <f aca="false">AVERAGE(C12:C14)</f>
        <v>4.51066666666667</v>
      </c>
      <c r="E14" s="0" t="n">
        <f aca="false">(0.0045*B14)-1.7651</f>
        <v>4.5349</v>
      </c>
      <c r="F14" s="0" t="n">
        <f aca="false">(E14-D14)</f>
        <v>0.024233333333334</v>
      </c>
    </row>
    <row r="15" customFormat="false" ht="15" hidden="false" customHeight="false" outlineLevel="0" collapsed="false">
      <c r="A15" s="0" t="n">
        <v>13</v>
      </c>
      <c r="B15" s="0" t="n">
        <v>1700</v>
      </c>
      <c r="C15" s="0" t="n">
        <v>5.402</v>
      </c>
      <c r="D15" s="0" t="n">
        <f aca="false">AVERAGE(C15:C17)</f>
        <v>5.612</v>
      </c>
      <c r="E15" s="0" t="n">
        <f aca="false">(0.0045*B15)-1.7651</f>
        <v>5.8849</v>
      </c>
      <c r="F15" s="0" t="n">
        <f aca="false">(E15-D15)</f>
        <v>0.272900000000001</v>
      </c>
    </row>
    <row r="16" customFormat="false" ht="15" hidden="false" customHeight="false" outlineLevel="0" collapsed="false">
      <c r="A16" s="0" t="n">
        <v>14</v>
      </c>
      <c r="B16" s="0" t="n">
        <v>1700</v>
      </c>
      <c r="C16" s="0" t="n">
        <v>5.632</v>
      </c>
      <c r="D16" s="0" t="n">
        <f aca="false">AVERAGE(C15:C17)</f>
        <v>5.612</v>
      </c>
      <c r="E16" s="0" t="n">
        <f aca="false">(0.0045*B16)-1.7651</f>
        <v>5.8849</v>
      </c>
      <c r="F16" s="0" t="n">
        <f aca="false">(E16-D16)</f>
        <v>0.272900000000001</v>
      </c>
    </row>
    <row r="17" customFormat="false" ht="15" hidden="false" customHeight="false" outlineLevel="0" collapsed="false">
      <c r="A17" s="0" t="n">
        <v>15</v>
      </c>
      <c r="B17" s="0" t="n">
        <v>1700</v>
      </c>
      <c r="C17" s="0" t="n">
        <v>5.802</v>
      </c>
      <c r="D17" s="0" t="n">
        <f aca="false">AVERAGE(C15:C17)</f>
        <v>5.612</v>
      </c>
      <c r="E17" s="0" t="n">
        <f aca="false">(0.0045*B17)-1.7651</f>
        <v>5.8849</v>
      </c>
      <c r="F17" s="0" t="n">
        <f aca="false">(E17-D17)</f>
        <v>0.272900000000001</v>
      </c>
    </row>
    <row r="18" customFormat="false" ht="15" hidden="false" customHeight="false" outlineLevel="0" collapsed="false">
      <c r="A18" s="0" t="n">
        <v>16</v>
      </c>
      <c r="B18" s="0" t="n">
        <v>2000</v>
      </c>
      <c r="C18" s="0" t="n">
        <v>7.43</v>
      </c>
      <c r="D18" s="0" t="n">
        <f aca="false">AVERAGE(C18:C20)</f>
        <v>7.57066666666667</v>
      </c>
      <c r="E18" s="0" t="n">
        <f aca="false">(0.0045*B18)-1.7651</f>
        <v>7.2349</v>
      </c>
      <c r="F18" s="0" t="n">
        <f aca="false">(E18-D18)</f>
        <v>-0.335766666666667</v>
      </c>
    </row>
    <row r="19" customFormat="false" ht="15" hidden="false" customHeight="false" outlineLevel="0" collapsed="false">
      <c r="A19" s="0" t="n">
        <v>17</v>
      </c>
      <c r="B19" s="0" t="n">
        <v>2000</v>
      </c>
      <c r="C19" s="0" t="n">
        <v>7.576</v>
      </c>
      <c r="D19" s="0" t="n">
        <f aca="false">AVERAGE(C18:C20)</f>
        <v>7.57066666666667</v>
      </c>
      <c r="E19" s="0" t="n">
        <f aca="false">(0.0045*B19)-1.7651</f>
        <v>7.2349</v>
      </c>
      <c r="F19" s="0" t="n">
        <f aca="false">(E19-D19)</f>
        <v>-0.335766666666667</v>
      </c>
    </row>
    <row r="20" customFormat="false" ht="15" hidden="false" customHeight="false" outlineLevel="0" collapsed="false">
      <c r="A20" s="0" t="n">
        <v>18</v>
      </c>
      <c r="B20" s="0" t="n">
        <v>2000</v>
      </c>
      <c r="C20" s="0" t="n">
        <v>7.706</v>
      </c>
      <c r="D20" s="0" t="n">
        <f aca="false">AVERAGE(C18:C20)</f>
        <v>7.57066666666667</v>
      </c>
      <c r="E20" s="0" t="n">
        <f aca="false">(0.0045*B20)-1.7651</f>
        <v>7.2349</v>
      </c>
      <c r="F20" s="0" t="n">
        <f aca="false">(E20-D20)</f>
        <v>-0.335766666666667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"/>
  <sheetViews>
    <sheetView showFormulas="false" showGridLines="true" showRowColHeaders="true" showZeros="true" rightToLeft="false" tabSelected="false" showOutlineSymbols="true" defaultGridColor="true" view="normal" topLeftCell="A19" colorId="64" zoomScale="120" zoomScaleNormal="120" zoomScalePageLayoutView="100" workbookViewId="0">
      <selection pane="topLeft" activeCell="F30" activeCellId="0" sqref="F30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0" width="12"/>
    <col collapsed="false" customWidth="true" hidden="false" outlineLevel="0" max="5" min="5" style="0" width="10.43"/>
    <col collapsed="false" customWidth="true" hidden="false" outlineLevel="0" max="6" min="6" style="0" width="10.86"/>
  </cols>
  <sheetData>
    <row r="1" customFormat="false" ht="15" hidden="false" customHeight="false" outlineLevel="0" collapsed="false">
      <c r="B1" s="0" t="s">
        <v>50</v>
      </c>
      <c r="C1" s="0" t="s">
        <v>51</v>
      </c>
      <c r="D1" s="0" t="s">
        <v>52</v>
      </c>
    </row>
    <row r="2" customFormat="false" ht="15" hidden="false" customHeight="false" outlineLevel="0" collapsed="false">
      <c r="B2" s="0" t="n">
        <v>500</v>
      </c>
      <c r="C2" s="0" t="n">
        <f aca="false">B2^2</f>
        <v>250000</v>
      </c>
      <c r="D2" s="0" t="n">
        <f aca="false">(B2-$B$21)^2</f>
        <v>562500</v>
      </c>
    </row>
    <row r="3" customFormat="false" ht="15" hidden="false" customHeight="false" outlineLevel="0" collapsed="false">
      <c r="B3" s="0" t="n">
        <v>500</v>
      </c>
      <c r="C3" s="0" t="n">
        <f aca="false">B3^2</f>
        <v>250000</v>
      </c>
      <c r="D3" s="0" t="n">
        <f aca="false">(B3-$B$21)^2</f>
        <v>562500</v>
      </c>
    </row>
    <row r="4" customFormat="false" ht="15" hidden="false" customHeight="false" outlineLevel="0" collapsed="false">
      <c r="B4" s="0" t="n">
        <v>500</v>
      </c>
      <c r="C4" s="0" t="n">
        <f aca="false">B4^2</f>
        <v>250000</v>
      </c>
      <c r="D4" s="0" t="n">
        <f aca="false">(B4-$B$21)^2</f>
        <v>562500</v>
      </c>
    </row>
    <row r="5" customFormat="false" ht="15" hidden="false" customHeight="false" outlineLevel="0" collapsed="false">
      <c r="B5" s="0" t="n">
        <v>800</v>
      </c>
      <c r="C5" s="0" t="n">
        <f aca="false">B5^2</f>
        <v>640000</v>
      </c>
      <c r="D5" s="0" t="n">
        <f aca="false">(B5-$B$21)^2</f>
        <v>202500</v>
      </c>
    </row>
    <row r="6" customFormat="false" ht="15" hidden="false" customHeight="false" outlineLevel="0" collapsed="false">
      <c r="B6" s="0" t="n">
        <v>800</v>
      </c>
      <c r="C6" s="0" t="n">
        <f aca="false">B6^2</f>
        <v>640000</v>
      </c>
      <c r="D6" s="0" t="n">
        <f aca="false">(B6-$B$21)^2</f>
        <v>202500</v>
      </c>
    </row>
    <row r="7" customFormat="false" ht="15" hidden="false" customHeight="false" outlineLevel="0" collapsed="false">
      <c r="B7" s="0" t="n">
        <v>800</v>
      </c>
      <c r="C7" s="0" t="n">
        <f aca="false">B7^2</f>
        <v>640000</v>
      </c>
      <c r="D7" s="0" t="n">
        <f aca="false">(B7-$B$21)^2</f>
        <v>202500</v>
      </c>
    </row>
    <row r="8" customFormat="false" ht="15" hidden="false" customHeight="false" outlineLevel="0" collapsed="false">
      <c r="B8" s="0" t="n">
        <v>1100</v>
      </c>
      <c r="C8" s="0" t="n">
        <f aca="false">B8^2</f>
        <v>1210000</v>
      </c>
      <c r="D8" s="0" t="n">
        <f aca="false">(B8-$B$21)^2</f>
        <v>22500</v>
      </c>
    </row>
    <row r="9" customFormat="false" ht="15" hidden="false" customHeight="false" outlineLevel="0" collapsed="false">
      <c r="B9" s="0" t="n">
        <v>1100</v>
      </c>
      <c r="C9" s="0" t="n">
        <f aca="false">B9^2</f>
        <v>1210000</v>
      </c>
      <c r="D9" s="0" t="n">
        <f aca="false">(B9-$B$21)^2</f>
        <v>22500</v>
      </c>
    </row>
    <row r="10" customFormat="false" ht="15" hidden="false" customHeight="false" outlineLevel="0" collapsed="false">
      <c r="B10" s="0" t="n">
        <v>1100</v>
      </c>
      <c r="C10" s="0" t="n">
        <f aca="false">B10^2</f>
        <v>1210000</v>
      </c>
      <c r="D10" s="0" t="n">
        <f aca="false">(B10-$B$21)^2</f>
        <v>22500</v>
      </c>
    </row>
    <row r="11" customFormat="false" ht="15" hidden="false" customHeight="false" outlineLevel="0" collapsed="false">
      <c r="B11" s="0" t="n">
        <v>1400</v>
      </c>
      <c r="C11" s="0" t="n">
        <f aca="false">B11^2</f>
        <v>1960000</v>
      </c>
      <c r="D11" s="0" t="n">
        <f aca="false">(B11-$B$21)^2</f>
        <v>22500</v>
      </c>
    </row>
    <row r="12" customFormat="false" ht="15" hidden="false" customHeight="false" outlineLevel="0" collapsed="false">
      <c r="B12" s="0" t="n">
        <v>1400</v>
      </c>
      <c r="C12" s="0" t="n">
        <f aca="false">B12^2</f>
        <v>1960000</v>
      </c>
      <c r="D12" s="0" t="n">
        <f aca="false">(B12-$B$21)^2</f>
        <v>22500</v>
      </c>
    </row>
    <row r="13" customFormat="false" ht="15" hidden="false" customHeight="false" outlineLevel="0" collapsed="false">
      <c r="B13" s="0" t="n">
        <v>1400</v>
      </c>
      <c r="C13" s="0" t="n">
        <f aca="false">B13^2</f>
        <v>1960000</v>
      </c>
      <c r="D13" s="0" t="n">
        <f aca="false">(B13-$B$21)^2</f>
        <v>22500</v>
      </c>
    </row>
    <row r="14" customFormat="false" ht="15" hidden="false" customHeight="false" outlineLevel="0" collapsed="false">
      <c r="B14" s="0" t="n">
        <v>1700</v>
      </c>
      <c r="C14" s="0" t="n">
        <f aca="false">B14^2</f>
        <v>2890000</v>
      </c>
      <c r="D14" s="0" t="n">
        <f aca="false">(B14-$B$21)^2</f>
        <v>202500</v>
      </c>
    </row>
    <row r="15" customFormat="false" ht="15" hidden="false" customHeight="false" outlineLevel="0" collapsed="false">
      <c r="B15" s="0" t="n">
        <v>1700</v>
      </c>
      <c r="C15" s="0" t="n">
        <f aca="false">B15^2</f>
        <v>2890000</v>
      </c>
      <c r="D15" s="0" t="n">
        <f aca="false">(B15-$B$21)^2</f>
        <v>202500</v>
      </c>
    </row>
    <row r="16" customFormat="false" ht="15" hidden="false" customHeight="false" outlineLevel="0" collapsed="false">
      <c r="B16" s="0" t="n">
        <v>1700</v>
      </c>
      <c r="C16" s="0" t="n">
        <f aca="false">B16^2</f>
        <v>2890000</v>
      </c>
      <c r="D16" s="0" t="n">
        <f aca="false">(B16-$B$21)^2</f>
        <v>202500</v>
      </c>
    </row>
    <row r="17" customFormat="false" ht="15" hidden="false" customHeight="false" outlineLevel="0" collapsed="false">
      <c r="B17" s="0" t="n">
        <v>2000</v>
      </c>
      <c r="C17" s="0" t="n">
        <f aca="false">B17^2</f>
        <v>4000000</v>
      </c>
      <c r="D17" s="0" t="n">
        <f aca="false">(B17-$B$21)^2</f>
        <v>562500</v>
      </c>
    </row>
    <row r="18" customFormat="false" ht="15" hidden="false" customHeight="false" outlineLevel="0" collapsed="false">
      <c r="B18" s="0" t="n">
        <v>2000</v>
      </c>
      <c r="C18" s="0" t="n">
        <f aca="false">B18^2</f>
        <v>4000000</v>
      </c>
      <c r="D18" s="0" t="n">
        <f aca="false">(B18-$B$21)^2</f>
        <v>562500</v>
      </c>
    </row>
    <row r="19" customFormat="false" ht="15" hidden="false" customHeight="false" outlineLevel="0" collapsed="false">
      <c r="B19" s="0" t="n">
        <v>2000</v>
      </c>
      <c r="C19" s="0" t="n">
        <f aca="false">B19^2</f>
        <v>4000000</v>
      </c>
      <c r="D19" s="0" t="n">
        <f aca="false">(B19-$B$21)^2</f>
        <v>562500</v>
      </c>
    </row>
    <row r="20" customFormat="false" ht="15" hidden="false" customHeight="false" outlineLevel="0" collapsed="false">
      <c r="B20" s="1" t="s">
        <v>53</v>
      </c>
      <c r="C20" s="1" t="s">
        <v>54</v>
      </c>
      <c r="D20" s="1" t="s">
        <v>54</v>
      </c>
      <c r="E20" s="1"/>
    </row>
    <row r="21" customFormat="false" ht="15" hidden="false" customHeight="false" outlineLevel="0" collapsed="false">
      <c r="B21" s="0" t="n">
        <f aca="false">AVERAGE(B2:B19)</f>
        <v>1250</v>
      </c>
      <c r="C21" s="0" t="n">
        <f aca="false">SUM(C2:C19)</f>
        <v>32850000</v>
      </c>
      <c r="D21" s="0" t="n">
        <f aca="false">SUM(D2:D19)</f>
        <v>4725000</v>
      </c>
    </row>
    <row r="23" customFormat="false" ht="15" hidden="false" customHeight="false" outlineLevel="0" collapsed="false">
      <c r="A23" s="0" t="s">
        <v>55</v>
      </c>
      <c r="B23" s="0" t="n">
        <v>0.07507077625</v>
      </c>
    </row>
    <row r="24" customFormat="false" ht="15" hidden="false" customHeight="false" outlineLevel="0" collapsed="false">
      <c r="A24" s="0" t="s">
        <v>56</v>
      </c>
      <c r="B24" s="0" t="n">
        <f aca="false">B23/SQRT(D21)</f>
        <v>3.45358381354807E-005</v>
      </c>
    </row>
    <row r="25" customFormat="false" ht="15" hidden="false" customHeight="false" outlineLevel="0" collapsed="false">
      <c r="A25" s="0" t="s">
        <v>57</v>
      </c>
      <c r="B25" s="0" t="n">
        <f aca="false">B23*SQRT(C21/(18*D21))</f>
        <v>0.0466553481520524</v>
      </c>
    </row>
    <row r="28" customFormat="false" ht="15" hidden="false" customHeight="false" outlineLevel="0" collapsed="false">
      <c r="D28" s="0" t="s">
        <v>58</v>
      </c>
      <c r="G28" s="22" t="n">
        <v>0.95</v>
      </c>
      <c r="H28" s="0" t="s">
        <v>59</v>
      </c>
      <c r="I28" s="3" t="n">
        <v>2.12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62</v>
      </c>
      <c r="D29" s="0" t="s">
        <v>63</v>
      </c>
      <c r="E29" s="0" t="s">
        <v>64</v>
      </c>
      <c r="F29" s="0" t="s">
        <v>65</v>
      </c>
    </row>
    <row r="30" customFormat="false" ht="15" hidden="false" customHeight="false" outlineLevel="0" collapsed="false">
      <c r="A30" s="0" t="n">
        <v>400</v>
      </c>
      <c r="B30" s="0" t="n">
        <f aca="false">(A30-$B$21)^2</f>
        <v>722500</v>
      </c>
      <c r="C30" s="0" t="n">
        <f aca="false">$B$23*SQRT(1+(1/18)+(B30/$D$21))</f>
        <v>0.0825254791004686</v>
      </c>
      <c r="D30" s="0" t="n">
        <f aca="false">(0.00451*A30)-1.7651</f>
        <v>0.0389000000000002</v>
      </c>
      <c r="E30" s="0" t="n">
        <f aca="false">D30-($I$28*C30)</f>
        <v>-0.136054015692993</v>
      </c>
      <c r="F30" s="0" t="n">
        <f aca="false">D30+($I$28*C30)</f>
        <v>0.213854015692994</v>
      </c>
    </row>
    <row r="31" customFormat="false" ht="15" hidden="false" customHeight="false" outlineLevel="0" collapsed="false">
      <c r="A31" s="0" t="n">
        <f aca="false">A30+5</f>
        <v>405</v>
      </c>
      <c r="B31" s="0" t="n">
        <f aca="false">(A31-$B$21)^2</f>
        <v>714025</v>
      </c>
      <c r="C31" s="0" t="n">
        <f aca="false">$B$23*SQRT(1+(1/18)+(B31/$D$21))</f>
        <v>0.082464212625121</v>
      </c>
      <c r="D31" s="0" t="n">
        <f aca="false">(0.00451*A31)-1.7651</f>
        <v>0.0614500000000002</v>
      </c>
      <c r="E31" s="0" t="n">
        <f aca="false">D31-($I$28*C31)</f>
        <v>-0.113374130765256</v>
      </c>
      <c r="F31" s="0" t="n">
        <f aca="false">D31+($I$28*C31)</f>
        <v>0.236274130765257</v>
      </c>
    </row>
    <row r="32" customFormat="false" ht="15" hidden="false" customHeight="false" outlineLevel="0" collapsed="false">
      <c r="A32" s="0" t="n">
        <f aca="false">A31+5</f>
        <v>410</v>
      </c>
      <c r="B32" s="0" t="n">
        <f aca="false">(A32-$B$21)^2</f>
        <v>705600</v>
      </c>
      <c r="C32" s="0" t="n">
        <f aca="false">$B$23*SQRT(1+(1/18)+(B32/$D$21))</f>
        <v>0.0824032624548702</v>
      </c>
      <c r="D32" s="0" t="n">
        <f aca="false">(0.00451*A32)-1.7651</f>
        <v>0.0840000000000001</v>
      </c>
      <c r="E32" s="0" t="n">
        <f aca="false">D32-($I$28*C32)</f>
        <v>-0.0906949164043247</v>
      </c>
      <c r="F32" s="0" t="n">
        <f aca="false">D32+($I$28*C32)</f>
        <v>0.258694916404325</v>
      </c>
    </row>
    <row r="33" customFormat="false" ht="15" hidden="false" customHeight="false" outlineLevel="0" collapsed="false">
      <c r="A33" s="0" t="n">
        <f aca="false">A32+5</f>
        <v>415</v>
      </c>
      <c r="B33" s="0" t="n">
        <f aca="false">(A33-$B$21)^2</f>
        <v>697225</v>
      </c>
      <c r="C33" s="0" t="n">
        <f aca="false">$B$23*SQRT(1+(1/18)+(B33/$D$21))</f>
        <v>0.0823426292921052</v>
      </c>
      <c r="D33" s="0" t="n">
        <f aca="false">(0.00451*A33)-1.7651</f>
        <v>0.10655</v>
      </c>
      <c r="E33" s="0" t="n">
        <f aca="false">D33-($I$28*C33)</f>
        <v>-0.0680163740992628</v>
      </c>
      <c r="F33" s="0" t="n">
        <f aca="false">D33+($I$28*C33)</f>
        <v>0.281116374099263</v>
      </c>
    </row>
    <row r="34" customFormat="false" ht="15" hidden="false" customHeight="false" outlineLevel="0" collapsed="false">
      <c r="A34" s="0" t="n">
        <f aca="false">A33+5</f>
        <v>420</v>
      </c>
      <c r="B34" s="0" t="n">
        <f aca="false">(A34-$B$21)^2</f>
        <v>688900</v>
      </c>
      <c r="C34" s="0" t="n">
        <f aca="false">$B$23*SQRT(1+(1/18)+(B34/$D$21))</f>
        <v>0.0822823138376267</v>
      </c>
      <c r="D34" s="0" t="n">
        <f aca="false">(0.00451*A34)-1.7651</f>
        <v>0.1291</v>
      </c>
      <c r="E34" s="0" t="n">
        <f aca="false">D34-($I$28*C34)</f>
        <v>-0.0453385053357683</v>
      </c>
      <c r="F34" s="0" t="n">
        <f aca="false">D34+($I$28*C34)</f>
        <v>0.303538505335769</v>
      </c>
    </row>
    <row r="35" customFormat="false" ht="15" hidden="false" customHeight="false" outlineLevel="0" collapsed="false">
      <c r="A35" s="0" t="n">
        <f aca="false">A34+5</f>
        <v>425</v>
      </c>
      <c r="B35" s="0" t="n">
        <f aca="false">(A35-$B$21)^2</f>
        <v>680625</v>
      </c>
      <c r="C35" s="0" t="n">
        <f aca="false">$B$23*SQRT(1+(1/18)+(B35/$D$21))</f>
        <v>0.0822223167906141</v>
      </c>
      <c r="D35" s="0" t="n">
        <f aca="false">(0.00451*A35)-1.7651</f>
        <v>0.15165</v>
      </c>
      <c r="E35" s="0" t="n">
        <f aca="false">D35-($I$28*C35)</f>
        <v>-0.0226613115961019</v>
      </c>
      <c r="F35" s="0" t="n">
        <f aca="false">D35+($I$28*C35)</f>
        <v>0.325961311596102</v>
      </c>
    </row>
    <row r="36" customFormat="false" ht="15" hidden="false" customHeight="false" outlineLevel="0" collapsed="false">
      <c r="A36" s="0" t="n">
        <f aca="false">A35+5</f>
        <v>430</v>
      </c>
      <c r="B36" s="0" t="n">
        <f aca="false">(A36-$B$21)^2</f>
        <v>672400</v>
      </c>
      <c r="C36" s="0" t="n">
        <f aca="false">$B$23*SQRT(1+(1/18)+(B36/$D$21))</f>
        <v>0.0821626388485929</v>
      </c>
      <c r="D36" s="0" t="n">
        <f aca="false">(0.00451*A36)-1.7651</f>
        <v>0.1742</v>
      </c>
      <c r="E36" s="0" t="n">
        <f aca="false">D36-($I$28*C36)</f>
        <v>1.52056409832013E-005</v>
      </c>
      <c r="F36" s="0" t="n">
        <f aca="false">D36+($I$28*C36)</f>
        <v>0.348384794359017</v>
      </c>
    </row>
    <row r="37" customFormat="false" ht="15" hidden="false" customHeight="false" outlineLevel="0" collapsed="false">
      <c r="A37" s="0" t="n">
        <f aca="false">A36+5</f>
        <v>435</v>
      </c>
      <c r="B37" s="0" t="n">
        <f aca="false">(A37-$B$21)^2</f>
        <v>664225</v>
      </c>
      <c r="C37" s="0" t="n">
        <f aca="false">$B$23*SQRT(1+(1/18)+(B37/$D$21))</f>
        <v>0.0821032807074011</v>
      </c>
      <c r="D37" s="0" t="n">
        <f aca="false">(0.00451*A37)-1.7651</f>
        <v>0.19675</v>
      </c>
      <c r="E37" s="0" t="n">
        <f aca="false">D37-($I$28*C37)</f>
        <v>0.02269104490031</v>
      </c>
      <c r="F37" s="0" t="n">
        <f aca="false">D37+($I$28*C37)</f>
        <v>0.370808955099691</v>
      </c>
    </row>
    <row r="38" customFormat="false" ht="15" hidden="false" customHeight="false" outlineLevel="0" collapsed="false">
      <c r="A38" s="0" t="n">
        <f aca="false">A37+5</f>
        <v>440</v>
      </c>
      <c r="B38" s="0" t="n">
        <f aca="false">(A38-$B$21)^2</f>
        <v>656100</v>
      </c>
      <c r="C38" s="0" t="n">
        <f aca="false">$B$23*SQRT(1+(1/18)+(B38/$D$21))</f>
        <v>0.0820442430611562</v>
      </c>
      <c r="D38" s="0" t="n">
        <f aca="false">(0.00451*A38)-1.7651</f>
        <v>0.2193</v>
      </c>
      <c r="E38" s="0" t="n">
        <f aca="false">D38-($I$28*C38)</f>
        <v>0.045366204710349</v>
      </c>
      <c r="F38" s="0" t="n">
        <f aca="false">D38+($I$28*C38)</f>
        <v>0.393233795289651</v>
      </c>
    </row>
    <row r="39" customFormat="false" ht="15" hidden="false" customHeight="false" outlineLevel="0" collapsed="false">
      <c r="A39" s="0" t="n">
        <f aca="false">A38+5</f>
        <v>445</v>
      </c>
      <c r="B39" s="0" t="n">
        <f aca="false">(A39-$B$21)^2</f>
        <v>648025</v>
      </c>
      <c r="C39" s="0" t="n">
        <f aca="false">$B$23*SQRT(1+(1/18)+(B39/$D$21))</f>
        <v>0.0819855266022219</v>
      </c>
      <c r="D39" s="0" t="n">
        <f aca="false">(0.00451*A39)-1.7651</f>
        <v>0.24185</v>
      </c>
      <c r="E39" s="0" t="n">
        <f aca="false">D39-($I$28*C39)</f>
        <v>0.06804068360329</v>
      </c>
      <c r="F39" s="0" t="n">
        <f aca="false">D39+($I$28*C39)</f>
        <v>0.415659316396711</v>
      </c>
    </row>
    <row r="40" customFormat="false" ht="15" hidden="false" customHeight="false" outlineLevel="0" collapsed="false">
      <c r="A40" s="0" t="n">
        <f aca="false">A39+5</f>
        <v>450</v>
      </c>
      <c r="B40" s="0" t="n">
        <f aca="false">(A40-$B$21)^2</f>
        <v>640000</v>
      </c>
      <c r="C40" s="0" t="n">
        <f aca="false">$B$23*SQRT(1+(1/18)+(B40/$D$21))</f>
        <v>0.0819271320211746</v>
      </c>
      <c r="D40" s="0" t="n">
        <f aca="false">(0.00451*A40)-1.7651</f>
        <v>0.2644</v>
      </c>
      <c r="E40" s="0" t="n">
        <f aca="false">D40-($I$28*C40)</f>
        <v>0.09071448011511</v>
      </c>
      <c r="F40" s="0" t="n">
        <f aca="false">D40+($I$28*C40)</f>
        <v>0.43808551988489</v>
      </c>
    </row>
    <row r="41" customFormat="false" ht="15" hidden="false" customHeight="false" outlineLevel="0" collapsed="false">
      <c r="A41" s="0" t="n">
        <f aca="false">A40+5</f>
        <v>455</v>
      </c>
      <c r="B41" s="0" t="n">
        <f aca="false">(A41-$B$21)^2</f>
        <v>632025</v>
      </c>
      <c r="C41" s="0" t="n">
        <f aca="false">$B$23*SQRT(1+(1/18)+(B41/$D$21))</f>
        <v>0.08186906000677</v>
      </c>
      <c r="D41" s="0" t="n">
        <f aca="false">(0.00451*A41)-1.7651</f>
        <v>0.28695</v>
      </c>
      <c r="E41" s="0" t="n">
        <f aca="false">D41-($I$28*C41)</f>
        <v>0.113387592785648</v>
      </c>
      <c r="F41" s="0" t="n">
        <f aca="false">D41+($I$28*C41)</f>
        <v>0.460512407214352</v>
      </c>
    </row>
    <row r="42" customFormat="false" ht="15" hidden="false" customHeight="false" outlineLevel="0" collapsed="false">
      <c r="A42" s="0" t="n">
        <f aca="false">A41+5</f>
        <v>460</v>
      </c>
      <c r="B42" s="0" t="n">
        <f aca="false">(A42-$B$21)^2</f>
        <v>624100</v>
      </c>
      <c r="C42" s="0" t="n">
        <f aca="false">$B$23*SQRT(1+(1/18)+(B42/$D$21))</f>
        <v>0.0818113112459092</v>
      </c>
      <c r="D42" s="0" t="n">
        <f aca="false">(0.00451*A42)-1.7651</f>
        <v>0.3095</v>
      </c>
      <c r="E42" s="0" t="n">
        <f aca="false">D42-($I$28*C42)</f>
        <v>0.136060020158673</v>
      </c>
      <c r="F42" s="0" t="n">
        <f aca="false">D42+($I$28*C42)</f>
        <v>0.482939979841328</v>
      </c>
    </row>
    <row r="43" customFormat="false" ht="15" hidden="false" customHeight="false" outlineLevel="0" collapsed="false">
      <c r="A43" s="0" t="n">
        <f aca="false">A42+5</f>
        <v>465</v>
      </c>
      <c r="B43" s="0" t="n">
        <f aca="false">(A43-$B$21)^2</f>
        <v>616225</v>
      </c>
      <c r="C43" s="0" t="n">
        <f aca="false">$B$23*SQRT(1+(1/18)+(B43/$D$21))</f>
        <v>0.0817538864236051</v>
      </c>
      <c r="D43" s="0" t="n">
        <f aca="false">(0.00451*A43)-1.7651</f>
        <v>0.33205</v>
      </c>
      <c r="E43" s="0" t="n">
        <f aca="false">D43-($I$28*C43)</f>
        <v>0.158731760781957</v>
      </c>
      <c r="F43" s="0" t="n">
        <f aca="false">D43+($I$28*C43)</f>
        <v>0.505368239218043</v>
      </c>
    </row>
    <row r="44" customFormat="false" ht="15" hidden="false" customHeight="false" outlineLevel="0" collapsed="false">
      <c r="A44" s="0" t="n">
        <f aca="false">A43+5</f>
        <v>470</v>
      </c>
      <c r="B44" s="0" t="n">
        <f aca="false">(A44-$B$21)^2</f>
        <v>608400</v>
      </c>
      <c r="C44" s="0" t="n">
        <f aca="false">$B$23*SQRT(1+(1/18)+(B44/$D$21))</f>
        <v>0.0816967862229489</v>
      </c>
      <c r="D44" s="0" t="n">
        <f aca="false">(0.00451*A44)-1.7651</f>
        <v>0.3546</v>
      </c>
      <c r="E44" s="0" t="n">
        <f aca="false">D44-($I$28*C44)</f>
        <v>0.181402813207348</v>
      </c>
      <c r="F44" s="0" t="n">
        <f aca="false">D44+($I$28*C44)</f>
        <v>0.527797186792652</v>
      </c>
    </row>
    <row r="45" customFormat="false" ht="15" hidden="false" customHeight="false" outlineLevel="0" collapsed="false">
      <c r="A45" s="0" t="n">
        <f aca="false">A44+5</f>
        <v>475</v>
      </c>
      <c r="B45" s="0" t="n">
        <f aca="false">(A45-$B$21)^2</f>
        <v>600625</v>
      </c>
      <c r="C45" s="0" t="n">
        <f aca="false">$B$23*SQRT(1+(1/18)+(B45/$D$21))</f>
        <v>0.0816400113250757</v>
      </c>
      <c r="D45" s="0" t="n">
        <f aca="false">(0.00451*A45)-1.7651</f>
        <v>0.37715</v>
      </c>
      <c r="E45" s="0" t="n">
        <f aca="false">D45-($I$28*C45)</f>
        <v>0.20407317599084</v>
      </c>
      <c r="F45" s="0" t="n">
        <f aca="false">D45+($I$28*C45)</f>
        <v>0.550226824009161</v>
      </c>
    </row>
    <row r="46" customFormat="false" ht="15" hidden="false" customHeight="false" outlineLevel="0" collapsed="false">
      <c r="A46" s="0" t="n">
        <f aca="false">A45+5</f>
        <v>480</v>
      </c>
      <c r="B46" s="0" t="n">
        <f aca="false">(A46-$B$21)^2</f>
        <v>592900</v>
      </c>
      <c r="C46" s="0" t="n">
        <f aca="false">$B$23*SQRT(1+(1/18)+(B46/$D$21))</f>
        <v>0.0815835624091309</v>
      </c>
      <c r="D46" s="0" t="n">
        <f aca="false">(0.00451*A46)-1.7651</f>
        <v>0.3997</v>
      </c>
      <c r="E46" s="0" t="n">
        <f aca="false">D46-($I$28*C46)</f>
        <v>0.226742847692643</v>
      </c>
      <c r="F46" s="0" t="n">
        <f aca="false">D46+($I$28*C46)</f>
        <v>0.572657152307358</v>
      </c>
    </row>
    <row r="47" customFormat="false" ht="15" hidden="false" customHeight="false" outlineLevel="0" collapsed="false">
      <c r="A47" s="0" t="n">
        <f aca="false">A46+5</f>
        <v>485</v>
      </c>
      <c r="B47" s="0" t="n">
        <f aca="false">(A47-$B$21)^2</f>
        <v>585225</v>
      </c>
      <c r="C47" s="0" t="n">
        <f aca="false">$B$23*SQRT(1+(1/18)+(B47/$D$21))</f>
        <v>0.0815274401522359</v>
      </c>
      <c r="D47" s="0" t="n">
        <f aca="false">(0.00451*A47)-1.7651</f>
        <v>0.42225</v>
      </c>
      <c r="E47" s="0" t="n">
        <f aca="false">D47-($I$28*C47)</f>
        <v>0.24941182687726</v>
      </c>
      <c r="F47" s="0" t="n">
        <f aca="false">D47+($I$28*C47)</f>
        <v>0.59508817312274</v>
      </c>
    </row>
    <row r="48" customFormat="false" ht="15" hidden="false" customHeight="false" outlineLevel="0" collapsed="false">
      <c r="A48" s="0" t="n">
        <f aca="false">A47+5</f>
        <v>490</v>
      </c>
      <c r="B48" s="0" t="n">
        <f aca="false">(A48-$B$21)^2</f>
        <v>577600</v>
      </c>
      <c r="C48" s="0" t="n">
        <f aca="false">$B$23*SQRT(1+(1/18)+(B48/$D$21))</f>
        <v>0.0814716452294542</v>
      </c>
      <c r="D48" s="0" t="n">
        <f aca="false">(0.00451*A48)-1.7651</f>
        <v>0.4448</v>
      </c>
      <c r="E48" s="0" t="n">
        <f aca="false">D48-($I$28*C48)</f>
        <v>0.272080112113558</v>
      </c>
      <c r="F48" s="0" t="n">
        <f aca="false">D48+($I$28*C48)</f>
        <v>0.617519887886443</v>
      </c>
    </row>
    <row r="49" customFormat="false" ht="15" hidden="false" customHeight="false" outlineLevel="0" collapsed="false">
      <c r="A49" s="0" t="n">
        <f aca="false">A48+5</f>
        <v>495</v>
      </c>
      <c r="B49" s="0" t="n">
        <f aca="false">(A49-$B$21)^2</f>
        <v>570025</v>
      </c>
      <c r="C49" s="0" t="n">
        <f aca="false">$B$23*SQRT(1+(1/18)+(B49/$D$21))</f>
        <v>0.0814161783137569</v>
      </c>
      <c r="D49" s="0" t="n">
        <f aca="false">(0.00451*A49)-1.7651</f>
        <v>0.46735</v>
      </c>
      <c r="E49" s="0" t="n">
        <f aca="false">D49-($I$28*C49)</f>
        <v>0.294747701974836</v>
      </c>
      <c r="F49" s="0" t="n">
        <f aca="false">D49+($I$28*C49)</f>
        <v>0.639952298025165</v>
      </c>
    </row>
    <row r="50" customFormat="false" ht="15" hidden="false" customHeight="false" outlineLevel="0" collapsed="false">
      <c r="A50" s="0" t="n">
        <f aca="false">A49+5</f>
        <v>500</v>
      </c>
      <c r="B50" s="0" t="n">
        <f aca="false">(A50-$B$21)^2</f>
        <v>562500</v>
      </c>
      <c r="C50" s="0" t="n">
        <f aca="false">$B$23*SQRT(1+(1/18)+(B50/$D$21))</f>
        <v>0.0813610400759889</v>
      </c>
      <c r="D50" s="0" t="n">
        <f aca="false">(0.00451*A50)-1.7651</f>
        <v>0.4899</v>
      </c>
      <c r="E50" s="0" t="n">
        <f aca="false">D50-($I$28*C50)</f>
        <v>0.317414595038904</v>
      </c>
      <c r="F50" s="0" t="n">
        <f aca="false">D50+($I$28*C50)</f>
        <v>0.662385404961096</v>
      </c>
    </row>
    <row r="51" customFormat="false" ht="15" hidden="false" customHeight="false" outlineLevel="0" collapsed="false">
      <c r="A51" s="0" t="n">
        <f aca="false">A50+5</f>
        <v>505</v>
      </c>
      <c r="B51" s="0" t="n">
        <f aca="false">(A51-$B$21)^2</f>
        <v>555025</v>
      </c>
      <c r="C51" s="0" t="n">
        <f aca="false">$B$23*SQRT(1+(1/18)+(B51/$D$21))</f>
        <v>0.0813062311848339</v>
      </c>
      <c r="D51" s="0" t="n">
        <f aca="false">(0.00451*A51)-1.7651</f>
        <v>0.51245</v>
      </c>
      <c r="E51" s="0" t="n">
        <f aca="false">D51-($I$28*C51)</f>
        <v>0.340080789888152</v>
      </c>
      <c r="F51" s="0" t="n">
        <f aca="false">D51+($I$28*C51)</f>
        <v>0.684819210111848</v>
      </c>
    </row>
    <row r="52" customFormat="false" ht="15" hidden="false" customHeight="false" outlineLevel="0" collapsed="false">
      <c r="A52" s="0" t="n">
        <f aca="false">A51+5</f>
        <v>510</v>
      </c>
      <c r="B52" s="0" t="n">
        <f aca="false">(A52-$B$21)^2</f>
        <v>547600</v>
      </c>
      <c r="C52" s="0" t="n">
        <f aca="false">$B$23*SQRT(1+(1/18)+(B52/$D$21))</f>
        <v>0.0812517523067807</v>
      </c>
      <c r="D52" s="0" t="n">
        <f aca="false">(0.00451*A52)-1.7651</f>
        <v>0.535</v>
      </c>
      <c r="E52" s="0" t="n">
        <f aca="false">D52-($I$28*C52)</f>
        <v>0.362746285109625</v>
      </c>
      <c r="F52" s="0" t="n">
        <f aca="false">D52+($I$28*C52)</f>
        <v>0.707253714890375</v>
      </c>
    </row>
    <row r="53" customFormat="false" ht="15" hidden="false" customHeight="false" outlineLevel="0" collapsed="false">
      <c r="A53" s="0" t="n">
        <f aca="false">A52+5</f>
        <v>515</v>
      </c>
      <c r="B53" s="0" t="n">
        <f aca="false">(A53-$B$21)^2</f>
        <v>540225</v>
      </c>
      <c r="C53" s="0" t="n">
        <f aca="false">$B$23*SQRT(1+(1/18)+(B53/$D$21))</f>
        <v>0.081197604106088</v>
      </c>
      <c r="D53" s="0" t="n">
        <f aca="false">(0.00451*A53)-1.7651</f>
        <v>0.55755</v>
      </c>
      <c r="E53" s="0" t="n">
        <f aca="false">D53-($I$28*C53)</f>
        <v>0.385411079295093</v>
      </c>
      <c r="F53" s="0" t="n">
        <f aca="false">D53+($I$28*C53)</f>
        <v>0.729688920704907</v>
      </c>
    </row>
    <row r="54" customFormat="false" ht="15" hidden="false" customHeight="false" outlineLevel="0" collapsed="false">
      <c r="A54" s="0" t="n">
        <f aca="false">A53+5</f>
        <v>520</v>
      </c>
      <c r="B54" s="0" t="n">
        <f aca="false">(A54-$B$21)^2</f>
        <v>532900</v>
      </c>
      <c r="C54" s="0" t="n">
        <f aca="false">$B$23*SQRT(1+(1/18)+(B54/$D$21))</f>
        <v>0.0811437872447506</v>
      </c>
      <c r="D54" s="0" t="n">
        <f aca="false">(0.00451*A54)-1.7651</f>
        <v>0.5801</v>
      </c>
      <c r="E54" s="0" t="n">
        <f aca="false">D54-($I$28*C54)</f>
        <v>0.408075171041129</v>
      </c>
      <c r="F54" s="0" t="n">
        <f aca="false">D54+($I$28*C54)</f>
        <v>0.752124828958872</v>
      </c>
    </row>
    <row r="55" customFormat="false" ht="15" hidden="false" customHeight="false" outlineLevel="0" collapsed="false">
      <c r="A55" s="0" t="n">
        <f aca="false">A54+5</f>
        <v>525</v>
      </c>
      <c r="B55" s="0" t="n">
        <f aca="false">(A55-$B$21)^2</f>
        <v>525625</v>
      </c>
      <c r="C55" s="0" t="n">
        <f aca="false">$B$23*SQRT(1+(1/18)+(B55/$D$21))</f>
        <v>0.0810903023824642</v>
      </c>
      <c r="D55" s="0" t="n">
        <f aca="false">(0.00451*A55)-1.7651</f>
        <v>0.60265</v>
      </c>
      <c r="E55" s="0" t="n">
        <f aca="false">D55-($I$28*C55)</f>
        <v>0.430738558949176</v>
      </c>
      <c r="F55" s="0" t="n">
        <f aca="false">D55+($I$28*C55)</f>
        <v>0.774561441050824</v>
      </c>
    </row>
    <row r="56" customFormat="false" ht="15" hidden="false" customHeight="false" outlineLevel="0" collapsed="false">
      <c r="A56" s="0" t="n">
        <f aca="false">A55+5</f>
        <v>530</v>
      </c>
      <c r="B56" s="0" t="n">
        <f aca="false">(A56-$B$21)^2</f>
        <v>518400</v>
      </c>
      <c r="C56" s="0" t="n">
        <f aca="false">$B$23*SQRT(1+(1/18)+(B56/$D$21))</f>
        <v>0.0810371501765913</v>
      </c>
      <c r="D56" s="0" t="n">
        <f aca="false">(0.00451*A56)-1.7651</f>
        <v>0.6252</v>
      </c>
      <c r="E56" s="0" t="n">
        <f aca="false">D56-($I$28*C56)</f>
        <v>0.453401241625626</v>
      </c>
      <c r="F56" s="0" t="n">
        <f aca="false">D56+($I$28*C56)</f>
        <v>0.796998758374374</v>
      </c>
    </row>
    <row r="57" customFormat="false" ht="15" hidden="false" customHeight="false" outlineLevel="0" collapsed="false">
      <c r="A57" s="0" t="n">
        <f aca="false">A56+5</f>
        <v>535</v>
      </c>
      <c r="B57" s="0" t="n">
        <f aca="false">(A57-$B$21)^2</f>
        <v>511225</v>
      </c>
      <c r="C57" s="0" t="n">
        <f aca="false">$B$23*SQRT(1+(1/18)+(B57/$D$21))</f>
        <v>0.0809843312821259</v>
      </c>
      <c r="D57" s="0" t="n">
        <f aca="false">(0.00451*A57)-1.7651</f>
        <v>0.64775</v>
      </c>
      <c r="E57" s="0" t="n">
        <f aca="false">D57-($I$28*C57)</f>
        <v>0.476063217681893</v>
      </c>
      <c r="F57" s="0" t="n">
        <f aca="false">D57+($I$28*C57)</f>
        <v>0.819436782318107</v>
      </c>
    </row>
    <row r="58" customFormat="false" ht="15" hidden="false" customHeight="false" outlineLevel="0" collapsed="false">
      <c r="A58" s="0" t="n">
        <f aca="false">A57+5</f>
        <v>540</v>
      </c>
      <c r="B58" s="0" t="n">
        <f aca="false">(A58-$B$21)^2</f>
        <v>504100</v>
      </c>
      <c r="C58" s="0" t="n">
        <f aca="false">$B$23*SQRT(1+(1/18)+(B58/$D$21))</f>
        <v>0.0809318463516594</v>
      </c>
      <c r="D58" s="0" t="n">
        <f aca="false">(0.00451*A58)-1.7651</f>
        <v>0.6703</v>
      </c>
      <c r="E58" s="0" t="n">
        <f aca="false">D58-($I$28*C58)</f>
        <v>0.498724485734482</v>
      </c>
      <c r="F58" s="0" t="n">
        <f aca="false">D58+($I$28*C58)</f>
        <v>0.841875514265518</v>
      </c>
    </row>
    <row r="59" customFormat="false" ht="15" hidden="false" customHeight="false" outlineLevel="0" collapsed="false">
      <c r="A59" s="0" t="n">
        <f aca="false">A58+5</f>
        <v>545</v>
      </c>
      <c r="B59" s="0" t="n">
        <f aca="false">(A59-$B$21)^2</f>
        <v>497025</v>
      </c>
      <c r="C59" s="0" t="n">
        <f aca="false">$B$23*SQRT(1+(1/18)+(B59/$D$21))</f>
        <v>0.0808796960353456</v>
      </c>
      <c r="D59" s="0" t="n">
        <f aca="false">(0.00451*A59)-1.7651</f>
        <v>0.69285</v>
      </c>
      <c r="E59" s="0" t="n">
        <f aca="false">D59-($I$28*C59)</f>
        <v>0.521385044405067</v>
      </c>
      <c r="F59" s="0" t="n">
        <f aca="false">D59+($I$28*C59)</f>
        <v>0.864314955594933</v>
      </c>
    </row>
    <row r="60" customFormat="false" ht="15" hidden="false" customHeight="false" outlineLevel="0" collapsed="false">
      <c r="A60" s="0" t="n">
        <f aca="false">A59+5</f>
        <v>550</v>
      </c>
      <c r="B60" s="0" t="n">
        <f aca="false">(A60-$B$21)^2</f>
        <v>490000</v>
      </c>
      <c r="C60" s="0" t="n">
        <f aca="false">$B$23*SQRT(1+(1/18)+(B60/$D$21))</f>
        <v>0.0808278809808655</v>
      </c>
      <c r="D60" s="0" t="n">
        <f aca="false">(0.00451*A60)-1.7651</f>
        <v>0.7154</v>
      </c>
      <c r="E60" s="0" t="n">
        <f aca="false">D60-($I$28*C60)</f>
        <v>0.544044892320565</v>
      </c>
      <c r="F60" s="0" t="n">
        <f aca="false">D60+($I$28*C60)</f>
        <v>0.886755107679435</v>
      </c>
    </row>
    <row r="61" customFormat="false" ht="15" hidden="false" customHeight="false" outlineLevel="0" collapsed="false">
      <c r="A61" s="0" t="n">
        <f aca="false">A60+5</f>
        <v>555</v>
      </c>
      <c r="B61" s="0" t="n">
        <f aca="false">(A61-$B$21)^2</f>
        <v>483025</v>
      </c>
      <c r="C61" s="0" t="n">
        <f aca="false">$B$23*SQRT(1+(1/18)+(B61/$D$21))</f>
        <v>0.0807764018333932</v>
      </c>
      <c r="D61" s="0" t="n">
        <f aca="false">(0.00451*A61)-1.7651</f>
        <v>0.73795</v>
      </c>
      <c r="E61" s="0" t="n">
        <f aca="false">D61-($I$28*C61)</f>
        <v>0.566704028113207</v>
      </c>
      <c r="F61" s="0" t="n">
        <f aca="false">D61+($I$28*C61)</f>
        <v>0.909195971886794</v>
      </c>
    </row>
    <row r="62" customFormat="false" ht="15" hidden="false" customHeight="false" outlineLevel="0" collapsed="false">
      <c r="A62" s="0" t="n">
        <f aca="false">A61+5</f>
        <v>560</v>
      </c>
      <c r="B62" s="0" t="n">
        <f aca="false">(A62-$B$21)^2</f>
        <v>476100</v>
      </c>
      <c r="C62" s="0" t="n">
        <f aca="false">$B$23*SQRT(1+(1/18)+(B62/$D$21))</f>
        <v>0.0807252592355605</v>
      </c>
      <c r="D62" s="0" t="n">
        <f aca="false">(0.00451*A62)-1.7651</f>
        <v>0.7605</v>
      </c>
      <c r="E62" s="0" t="n">
        <f aca="false">D62-($I$28*C62)</f>
        <v>0.589362450420612</v>
      </c>
      <c r="F62" s="0" t="n">
        <f aca="false">D62+($I$28*C62)</f>
        <v>0.931637549579388</v>
      </c>
    </row>
    <row r="63" customFormat="false" ht="15" hidden="false" customHeight="false" outlineLevel="0" collapsed="false">
      <c r="A63" s="0" t="n">
        <f aca="false">A62+5</f>
        <v>565</v>
      </c>
      <c r="B63" s="0" t="n">
        <f aca="false">(A63-$B$21)^2</f>
        <v>469225</v>
      </c>
      <c r="C63" s="0" t="n">
        <f aca="false">$B$23*SQRT(1+(1/18)+(B63/$D$21))</f>
        <v>0.0806744538274222</v>
      </c>
      <c r="D63" s="0" t="n">
        <f aca="false">(0.00451*A63)-1.7651</f>
        <v>0.78305</v>
      </c>
      <c r="E63" s="0" t="n">
        <f aca="false">D63-($I$28*C63)</f>
        <v>0.612020157885865</v>
      </c>
      <c r="F63" s="0" t="n">
        <f aca="false">D63+($I$28*C63)</f>
        <v>0.954079842114135</v>
      </c>
    </row>
    <row r="64" customFormat="false" ht="15" hidden="false" customHeight="false" outlineLevel="0" collapsed="false">
      <c r="A64" s="0" t="n">
        <f aca="false">A63+5</f>
        <v>570</v>
      </c>
      <c r="B64" s="0" t="n">
        <f aca="false">(A64-$B$21)^2</f>
        <v>462400</v>
      </c>
      <c r="C64" s="0" t="n">
        <f aca="false">$B$23*SQRT(1+(1/18)+(B64/$D$21))</f>
        <v>0.080623986246421</v>
      </c>
      <c r="D64" s="0" t="n">
        <f aca="false">(0.00451*A64)-1.7651</f>
        <v>0.8056</v>
      </c>
      <c r="E64" s="0" t="n">
        <f aca="false">D64-($I$28*C64)</f>
        <v>0.634677149157588</v>
      </c>
      <c r="F64" s="0" t="n">
        <f aca="false">D64+($I$28*C64)</f>
        <v>0.976522850842413</v>
      </c>
    </row>
    <row r="65" customFormat="false" ht="15" hidden="false" customHeight="false" outlineLevel="0" collapsed="false">
      <c r="A65" s="0" t="n">
        <f aca="false">A64+5</f>
        <v>575</v>
      </c>
      <c r="B65" s="0" t="n">
        <f aca="false">(A65-$B$21)^2</f>
        <v>455625</v>
      </c>
      <c r="C65" s="0" t="n">
        <f aca="false">$B$23*SQRT(1+(1/18)+(B65/$D$21))</f>
        <v>0.0805738571273529</v>
      </c>
      <c r="D65" s="0" t="n">
        <f aca="false">(0.00451*A65)-1.7651</f>
        <v>0.82815</v>
      </c>
      <c r="E65" s="0" t="n">
        <f aca="false">D65-($I$28*C65)</f>
        <v>0.657333422890012</v>
      </c>
      <c r="F65" s="0" t="n">
        <f aca="false">D65+($I$28*C65)</f>
        <v>0.998966577109989</v>
      </c>
    </row>
    <row r="66" customFormat="false" ht="15" hidden="false" customHeight="false" outlineLevel="0" collapsed="false">
      <c r="A66" s="0" t="n">
        <f aca="false">A65+5</f>
        <v>580</v>
      </c>
      <c r="B66" s="0" t="n">
        <f aca="false">(A66-$B$21)^2</f>
        <v>448900</v>
      </c>
      <c r="C66" s="0" t="n">
        <f aca="false">$B$23*SQRT(1+(1/18)+(B66/$D$21))</f>
        <v>0.080524067102332</v>
      </c>
      <c r="D66" s="0" t="n">
        <f aca="false">(0.00451*A66)-1.7651</f>
        <v>0.8507</v>
      </c>
      <c r="E66" s="0" t="n">
        <f aca="false">D66-($I$28*C66)</f>
        <v>0.679988977743056</v>
      </c>
      <c r="F66" s="0" t="n">
        <f aca="false">D66+($I$28*C66)</f>
        <v>1.02141102225694</v>
      </c>
    </row>
    <row r="67" customFormat="false" ht="15" hidden="false" customHeight="false" outlineLevel="0" collapsed="false">
      <c r="A67" s="0" t="n">
        <f aca="false">A66+5</f>
        <v>585</v>
      </c>
      <c r="B67" s="0" t="n">
        <f aca="false">(A67-$B$21)^2</f>
        <v>442225</v>
      </c>
      <c r="C67" s="0" t="n">
        <f aca="false">$B$23*SQRT(1+(1/18)+(B67/$D$21))</f>
        <v>0.0804746168007554</v>
      </c>
      <c r="D67" s="0" t="n">
        <f aca="false">(0.00451*A67)-1.7651</f>
        <v>0.87325</v>
      </c>
      <c r="E67" s="0" t="n">
        <f aca="false">D67-($I$28*C67)</f>
        <v>0.702643812382399</v>
      </c>
      <c r="F67" s="0" t="n">
        <f aca="false">D67+($I$28*C67)</f>
        <v>1.0438561876176</v>
      </c>
    </row>
    <row r="68" customFormat="false" ht="15" hidden="false" customHeight="false" outlineLevel="0" collapsed="false">
      <c r="A68" s="0" t="n">
        <f aca="false">A67+5</f>
        <v>590</v>
      </c>
      <c r="B68" s="0" t="n">
        <f aca="false">(A68-$B$21)^2</f>
        <v>435600</v>
      </c>
      <c r="C68" s="0" t="n">
        <f aca="false">$B$23*SQRT(1+(1/18)+(B68/$D$21))</f>
        <v>0.0804255068492688</v>
      </c>
      <c r="D68" s="0" t="n">
        <f aca="false">(0.00451*A68)-1.7651</f>
        <v>0.8958</v>
      </c>
      <c r="E68" s="0" t="n">
        <f aca="false">D68-($I$28*C68)</f>
        <v>0.725297925479551</v>
      </c>
      <c r="F68" s="0" t="n">
        <f aca="false">D68+($I$28*C68)</f>
        <v>1.06630207452045</v>
      </c>
    </row>
    <row r="69" customFormat="false" ht="15" hidden="false" customHeight="false" outlineLevel="0" collapsed="false">
      <c r="A69" s="0" t="n">
        <f aca="false">A68+5</f>
        <v>595</v>
      </c>
      <c r="B69" s="0" t="n">
        <f aca="false">(A69-$B$21)^2</f>
        <v>429025</v>
      </c>
      <c r="C69" s="0" t="n">
        <f aca="false">$B$23*SQRT(1+(1/18)+(B69/$D$21))</f>
        <v>0.0803767378717308</v>
      </c>
      <c r="D69" s="0" t="n">
        <f aca="false">(0.00451*A69)-1.7651</f>
        <v>0.91835</v>
      </c>
      <c r="E69" s="0" t="n">
        <f aca="false">D69-($I$28*C69)</f>
        <v>0.747951315711931</v>
      </c>
      <c r="F69" s="0" t="n">
        <f aca="false">D69+($I$28*C69)</f>
        <v>1.08874868428807</v>
      </c>
    </row>
    <row r="70" customFormat="false" ht="15" hidden="false" customHeight="false" outlineLevel="0" collapsed="false">
      <c r="A70" s="0" t="n">
        <f aca="false">A69+5</f>
        <v>600</v>
      </c>
      <c r="B70" s="0" t="n">
        <f aca="false">(A70-$B$21)^2</f>
        <v>422500</v>
      </c>
      <c r="C70" s="0" t="n">
        <f aca="false">$B$23*SQRT(1+(1/18)+(B70/$D$21))</f>
        <v>0.0803283104891784</v>
      </c>
      <c r="D70" s="0" t="n">
        <f aca="false">(0.00451*A70)-1.7651</f>
        <v>0.9409</v>
      </c>
      <c r="E70" s="0" t="n">
        <f aca="false">D70-($I$28*C70)</f>
        <v>0.770603981762942</v>
      </c>
      <c r="F70" s="0" t="n">
        <f aca="false">D70+($I$28*C70)</f>
        <v>1.11119601823706</v>
      </c>
    </row>
    <row r="71" customFormat="false" ht="15" hidden="false" customHeight="false" outlineLevel="0" collapsed="false">
      <c r="A71" s="0" t="n">
        <f aca="false">A70+5</f>
        <v>605</v>
      </c>
      <c r="B71" s="0" t="n">
        <f aca="false">(A71-$B$21)^2</f>
        <v>416025</v>
      </c>
      <c r="C71" s="0" t="n">
        <f aca="false">$B$23*SQRT(1+(1/18)+(B71/$D$21))</f>
        <v>0.0802802253197919</v>
      </c>
      <c r="D71" s="0" t="n">
        <f aca="false">(0.00451*A71)-1.7651</f>
        <v>0.96345</v>
      </c>
      <c r="E71" s="0" t="n">
        <f aca="false">D71-($I$28*C71)</f>
        <v>0.793255922322042</v>
      </c>
      <c r="F71" s="0" t="n">
        <f aca="false">D71+($I$28*C71)</f>
        <v>1.13364407767796</v>
      </c>
    </row>
    <row r="72" customFormat="false" ht="15" hidden="false" customHeight="false" outlineLevel="0" collapsed="false">
      <c r="A72" s="0" t="n">
        <f aca="false">A71+5</f>
        <v>610</v>
      </c>
      <c r="B72" s="0" t="n">
        <f aca="false">(A72-$B$21)^2</f>
        <v>409600</v>
      </c>
      <c r="C72" s="0" t="n">
        <f aca="false">$B$23*SQRT(1+(1/18)+(B72/$D$21))</f>
        <v>0.08023248297886</v>
      </c>
      <c r="D72" s="0" t="n">
        <f aca="false">(0.00451*A72)-1.7651</f>
        <v>0.986</v>
      </c>
      <c r="E72" s="0" t="n">
        <f aca="false">D72-($I$28*C72)</f>
        <v>0.815907136084817</v>
      </c>
      <c r="F72" s="0" t="n">
        <f aca="false">D72+($I$28*C72)</f>
        <v>1.15609286391518</v>
      </c>
    </row>
    <row r="73" customFormat="false" ht="15" hidden="false" customHeight="false" outlineLevel="0" collapsed="false">
      <c r="A73" s="0" t="n">
        <f aca="false">A72+5</f>
        <v>615</v>
      </c>
      <c r="B73" s="0" t="n">
        <f aca="false">(A73-$B$21)^2</f>
        <v>403225</v>
      </c>
      <c r="C73" s="0" t="n">
        <f aca="false">$B$23*SQRT(1+(1/18)+(B73/$D$21))</f>
        <v>0.0801850840787446</v>
      </c>
      <c r="D73" s="0" t="n">
        <f aca="false">(0.00451*A73)-1.7651</f>
        <v>1.00855</v>
      </c>
      <c r="E73" s="0" t="n">
        <f aca="false">D73-($I$28*C73)</f>
        <v>0.838557621753062</v>
      </c>
      <c r="F73" s="0" t="n">
        <f aca="false">D73+($I$28*C73)</f>
        <v>1.17854237824694</v>
      </c>
    </row>
    <row r="74" customFormat="false" ht="15" hidden="false" customHeight="false" outlineLevel="0" collapsed="false">
      <c r="A74" s="0" t="n">
        <f aca="false">A73+5</f>
        <v>620</v>
      </c>
      <c r="B74" s="0" t="n">
        <f aca="false">(A74-$B$21)^2</f>
        <v>396900</v>
      </c>
      <c r="C74" s="0" t="n">
        <f aca="false">$B$23*SQRT(1+(1/18)+(B74/$D$21))</f>
        <v>0.0801380292288462</v>
      </c>
      <c r="D74" s="0" t="n">
        <f aca="false">(0.00451*A74)-1.7651</f>
        <v>1.0311</v>
      </c>
      <c r="E74" s="0" t="n">
        <f aca="false">D74-($I$28*C74)</f>
        <v>0.861207378034846</v>
      </c>
      <c r="F74" s="0" t="n">
        <f aca="false">D74+($I$28*C74)</f>
        <v>1.20099262196515</v>
      </c>
    </row>
    <row r="75" customFormat="false" ht="15" hidden="false" customHeight="false" outlineLevel="0" collapsed="false">
      <c r="A75" s="0" t="n">
        <f aca="false">A74+5</f>
        <v>625</v>
      </c>
      <c r="B75" s="0" t="n">
        <f aca="false">(A75-$B$21)^2</f>
        <v>390625</v>
      </c>
      <c r="C75" s="0" t="n">
        <f aca="false">$B$23*SQRT(1+(1/18)+(B75/$D$21))</f>
        <v>0.0800913190355688</v>
      </c>
      <c r="D75" s="0" t="n">
        <f aca="false">(0.00451*A75)-1.7651</f>
        <v>1.05365</v>
      </c>
      <c r="E75" s="0" t="n">
        <f aca="false">D75-($I$28*C75)</f>
        <v>0.883856403644594</v>
      </c>
      <c r="F75" s="0" t="n">
        <f aca="false">D75+($I$28*C75)</f>
        <v>1.22344359635541</v>
      </c>
    </row>
    <row r="76" customFormat="false" ht="15" hidden="false" customHeight="false" outlineLevel="0" collapsed="false">
      <c r="A76" s="0" t="n">
        <f aca="false">A75+5</f>
        <v>630</v>
      </c>
      <c r="B76" s="0" t="n">
        <f aca="false">(A76-$B$21)^2</f>
        <v>384400</v>
      </c>
      <c r="C76" s="0" t="n">
        <f aca="false">$B$23*SQRT(1+(1/18)+(B76/$D$21))</f>
        <v>0.080044954102285</v>
      </c>
      <c r="D76" s="0" t="n">
        <f aca="false">(0.00451*A76)-1.7651</f>
        <v>1.0762</v>
      </c>
      <c r="E76" s="0" t="n">
        <f aca="false">D76-($I$28*C76)</f>
        <v>0.906504697303156</v>
      </c>
      <c r="F76" s="0" t="n">
        <f aca="false">D76+($I$28*C76)</f>
        <v>1.24589530269684</v>
      </c>
    </row>
    <row r="77" customFormat="false" ht="15" hidden="false" customHeight="false" outlineLevel="0" collapsed="false">
      <c r="A77" s="0" t="n">
        <f aca="false">A76+5</f>
        <v>635</v>
      </c>
      <c r="B77" s="0" t="n">
        <f aca="false">(A77-$B$21)^2</f>
        <v>378225</v>
      </c>
      <c r="C77" s="0" t="n">
        <f aca="false">$B$23*SQRT(1+(1/18)+(B77/$D$21))</f>
        <v>0.0799989350293011</v>
      </c>
      <c r="D77" s="0" t="n">
        <f aca="false">(0.00451*A77)-1.7651</f>
        <v>1.09875</v>
      </c>
      <c r="E77" s="0" t="n">
        <f aca="false">D77-($I$28*C77)</f>
        <v>0.929152257737882</v>
      </c>
      <c r="F77" s="0" t="n">
        <f aca="false">D77+($I$28*C77)</f>
        <v>1.26834774226212</v>
      </c>
    </row>
    <row r="78" customFormat="false" ht="15" hidden="false" customHeight="false" outlineLevel="0" collapsed="false">
      <c r="A78" s="0" t="n">
        <f aca="false">A77+5</f>
        <v>640</v>
      </c>
      <c r="B78" s="0" t="n">
        <f aca="false">(A78-$B$21)^2</f>
        <v>372100</v>
      </c>
      <c r="C78" s="0" t="n">
        <f aca="false">$B$23*SQRT(1+(1/18)+(B78/$D$21))</f>
        <v>0.0799532624138225</v>
      </c>
      <c r="D78" s="0" t="n">
        <f aca="false">(0.00451*A78)-1.7651</f>
        <v>1.1213</v>
      </c>
      <c r="E78" s="0" t="n">
        <f aca="false">D78-($I$28*C78)</f>
        <v>0.951799083682697</v>
      </c>
      <c r="F78" s="0" t="n">
        <f aca="false">D78+($I$28*C78)</f>
        <v>1.2908009163173</v>
      </c>
    </row>
    <row r="79" customFormat="false" ht="15" hidden="false" customHeight="false" outlineLevel="0" collapsed="false">
      <c r="A79" s="0" t="n">
        <f aca="false">A78+5</f>
        <v>645</v>
      </c>
      <c r="B79" s="0" t="n">
        <f aca="false">(A79-$B$21)^2</f>
        <v>366025</v>
      </c>
      <c r="C79" s="0" t="n">
        <f aca="false">$B$23*SQRT(1+(1/18)+(B79/$D$21))</f>
        <v>0.0799079368499184</v>
      </c>
      <c r="D79" s="0" t="n">
        <f aca="false">(0.00451*A79)-1.7651</f>
        <v>1.14385</v>
      </c>
      <c r="E79" s="0" t="n">
        <f aca="false">D79-($I$28*C79)</f>
        <v>0.974445173878173</v>
      </c>
      <c r="F79" s="0" t="n">
        <f aca="false">D79+($I$28*C79)</f>
        <v>1.31325482612183</v>
      </c>
    </row>
    <row r="80" customFormat="false" ht="15" hidden="false" customHeight="false" outlineLevel="0" collapsed="false">
      <c r="A80" s="0" t="n">
        <f aca="false">A79+5</f>
        <v>650</v>
      </c>
      <c r="B80" s="0" t="n">
        <f aca="false">(A80-$B$21)^2</f>
        <v>360000</v>
      </c>
      <c r="C80" s="0" t="n">
        <f aca="false">$B$23*SQRT(1+(1/18)+(B80/$D$21))</f>
        <v>0.0798629589284879</v>
      </c>
      <c r="D80" s="0" t="n">
        <f aca="false">(0.00451*A80)-1.7651</f>
        <v>1.1664</v>
      </c>
      <c r="E80" s="0" t="n">
        <f aca="false">D80-($I$28*C80)</f>
        <v>0.997090527071606</v>
      </c>
      <c r="F80" s="0" t="n">
        <f aca="false">D80+($I$28*C80)</f>
        <v>1.33570947292839</v>
      </c>
    </row>
    <row r="81" customFormat="false" ht="15" hidden="false" customHeight="false" outlineLevel="0" collapsed="false">
      <c r="A81" s="0" t="n">
        <f aca="false">A80+5</f>
        <v>655</v>
      </c>
      <c r="B81" s="0" t="n">
        <f aca="false">(A81-$B$21)^2</f>
        <v>354025</v>
      </c>
      <c r="C81" s="0" t="n">
        <f aca="false">$B$23*SQRT(1+(1/18)+(B81/$D$21))</f>
        <v>0.0798183292372242</v>
      </c>
      <c r="D81" s="0" t="n">
        <f aca="false">(0.00451*A81)-1.7651</f>
        <v>1.18895</v>
      </c>
      <c r="E81" s="0" t="n">
        <f aca="false">D81-($I$28*C81)</f>
        <v>1.01973514201709</v>
      </c>
      <c r="F81" s="0" t="n">
        <f aca="false">D81+($I$28*C81)</f>
        <v>1.35816485798292</v>
      </c>
    </row>
    <row r="82" customFormat="false" ht="15" hidden="false" customHeight="false" outlineLevel="0" collapsed="false">
      <c r="A82" s="0" t="n">
        <f aca="false">A81+5</f>
        <v>660</v>
      </c>
      <c r="B82" s="0" t="n">
        <f aca="false">(A82-$B$21)^2</f>
        <v>348100</v>
      </c>
      <c r="C82" s="0" t="n">
        <f aca="false">$B$23*SQRT(1+(1/18)+(B82/$D$21))</f>
        <v>0.0797740483605807</v>
      </c>
      <c r="D82" s="0" t="n">
        <f aca="false">(0.00451*A82)-1.7651</f>
        <v>1.2115</v>
      </c>
      <c r="E82" s="0" t="n">
        <f aca="false">D82-($I$28*C82)</f>
        <v>1.04237901747557</v>
      </c>
      <c r="F82" s="0" t="n">
        <f aca="false">D82+($I$28*C82)</f>
        <v>1.38062098252443</v>
      </c>
    </row>
    <row r="83" customFormat="false" ht="15" hidden="false" customHeight="false" outlineLevel="0" collapsed="false">
      <c r="A83" s="0" t="n">
        <f aca="false">A82+5</f>
        <v>665</v>
      </c>
      <c r="B83" s="0" t="n">
        <f aca="false">(A83-$B$21)^2</f>
        <v>342225</v>
      </c>
      <c r="C83" s="0" t="n">
        <f aca="false">$B$23*SQRT(1+(1/18)+(B83/$D$21))</f>
        <v>0.0797301168797363</v>
      </c>
      <c r="D83" s="0" t="n">
        <f aca="false">(0.00451*A83)-1.7651</f>
        <v>1.23405</v>
      </c>
      <c r="E83" s="0" t="n">
        <f aca="false">D83-($I$28*C83)</f>
        <v>1.06502215221496</v>
      </c>
      <c r="F83" s="0" t="n">
        <f aca="false">D83+($I$28*C83)</f>
        <v>1.40307784778504</v>
      </c>
    </row>
    <row r="84" customFormat="false" ht="15" hidden="false" customHeight="false" outlineLevel="0" collapsed="false">
      <c r="A84" s="0" t="n">
        <f aca="false">A83+5</f>
        <v>670</v>
      </c>
      <c r="B84" s="0" t="n">
        <f aca="false">(A84-$B$21)^2</f>
        <v>336400</v>
      </c>
      <c r="C84" s="0" t="n">
        <f aca="false">$B$23*SQRT(1+(1/18)+(B84/$D$21))</f>
        <v>0.0796865353725606</v>
      </c>
      <c r="D84" s="0" t="n">
        <f aca="false">(0.00451*A84)-1.7651</f>
        <v>1.2566</v>
      </c>
      <c r="E84" s="0" t="n">
        <f aca="false">D84-($I$28*C84)</f>
        <v>1.08766454501017</v>
      </c>
      <c r="F84" s="0" t="n">
        <f aca="false">D84+($I$28*C84)</f>
        <v>1.42553545498983</v>
      </c>
    </row>
    <row r="85" customFormat="false" ht="15" hidden="false" customHeight="false" outlineLevel="0" collapsed="false">
      <c r="A85" s="0" t="n">
        <f aca="false">A84+5</f>
        <v>675</v>
      </c>
      <c r="B85" s="0" t="n">
        <f aca="false">(A85-$B$21)^2</f>
        <v>330625</v>
      </c>
      <c r="C85" s="0" t="n">
        <f aca="false">$B$23*SQRT(1+(1/18)+(B85/$D$21))</f>
        <v>0.0796433044135793</v>
      </c>
      <c r="D85" s="0" t="n">
        <f aca="false">(0.00451*A85)-1.7651</f>
        <v>1.27915</v>
      </c>
      <c r="E85" s="0" t="n">
        <f aca="false">D85-($I$28*C85)</f>
        <v>1.11030619464321</v>
      </c>
      <c r="F85" s="0" t="n">
        <f aca="false">D85+($I$28*C85)</f>
        <v>1.44799380535679</v>
      </c>
    </row>
    <row r="86" customFormat="false" ht="15" hidden="false" customHeight="false" outlineLevel="0" collapsed="false">
      <c r="A86" s="0" t="n">
        <f aca="false">A85+5</f>
        <v>680</v>
      </c>
      <c r="B86" s="0" t="n">
        <f aca="false">(A86-$B$21)^2</f>
        <v>324900</v>
      </c>
      <c r="C86" s="0" t="n">
        <f aca="false">$B$23*SQRT(1+(1/18)+(B86/$D$21))</f>
        <v>0.0796004245739403</v>
      </c>
      <c r="D86" s="0" t="n">
        <f aca="false">(0.00451*A86)-1.7651</f>
        <v>1.3017</v>
      </c>
      <c r="E86" s="0" t="n">
        <f aca="false">D86-($I$28*C86)</f>
        <v>1.13294709990325</v>
      </c>
      <c r="F86" s="0" t="n">
        <f aca="false">D86+($I$28*C86)</f>
        <v>1.47045290009675</v>
      </c>
    </row>
    <row r="87" customFormat="false" ht="15" hidden="false" customHeight="false" outlineLevel="0" collapsed="false">
      <c r="A87" s="0" t="n">
        <f aca="false">A86+5</f>
        <v>685</v>
      </c>
      <c r="B87" s="0" t="n">
        <f aca="false">(A87-$B$21)^2</f>
        <v>319225</v>
      </c>
      <c r="C87" s="0" t="n">
        <f aca="false">$B$23*SQRT(1+(1/18)+(B87/$D$21))</f>
        <v>0.0795578964213789</v>
      </c>
      <c r="D87" s="0" t="n">
        <f aca="false">(0.00451*A87)-1.7651</f>
        <v>1.32425</v>
      </c>
      <c r="E87" s="0" t="n">
        <f aca="false">D87-($I$28*C87)</f>
        <v>1.15558725958668</v>
      </c>
      <c r="F87" s="0" t="n">
        <f aca="false">D87+($I$28*C87)</f>
        <v>1.49291274041332</v>
      </c>
    </row>
    <row r="88" customFormat="false" ht="15" hidden="false" customHeight="false" outlineLevel="0" collapsed="false">
      <c r="A88" s="0" t="n">
        <f aca="false">A87+5</f>
        <v>690</v>
      </c>
      <c r="B88" s="0" t="n">
        <f aca="false">(A88-$B$21)^2</f>
        <v>313600</v>
      </c>
      <c r="C88" s="0" t="n">
        <f aca="false">$B$23*SQRT(1+(1/18)+(B88/$D$21))</f>
        <v>0.0795157205201835</v>
      </c>
      <c r="D88" s="0" t="n">
        <f aca="false">(0.00451*A88)-1.7651</f>
        <v>1.3468</v>
      </c>
      <c r="E88" s="0" t="n">
        <f aca="false">D88-($I$28*C88)</f>
        <v>1.17822667249721</v>
      </c>
      <c r="F88" s="0" t="n">
        <f aca="false">D88+($I$28*C88)</f>
        <v>1.51537332750279</v>
      </c>
    </row>
    <row r="89" customFormat="false" ht="15" hidden="false" customHeight="false" outlineLevel="0" collapsed="false">
      <c r="A89" s="0" t="n">
        <f aca="false">A88+5</f>
        <v>695</v>
      </c>
      <c r="B89" s="0" t="n">
        <f aca="false">(A89-$B$21)^2</f>
        <v>308025</v>
      </c>
      <c r="C89" s="0" t="n">
        <f aca="false">$B$23*SQRT(1+(1/18)+(B89/$D$21))</f>
        <v>0.0794738974311616</v>
      </c>
      <c r="D89" s="0" t="n">
        <f aca="false">(0.00451*A89)-1.7651</f>
        <v>1.36935</v>
      </c>
      <c r="E89" s="0" t="n">
        <f aca="false">D89-($I$28*C89)</f>
        <v>1.20086533744594</v>
      </c>
      <c r="F89" s="0" t="n">
        <f aca="false">D89+($I$28*C89)</f>
        <v>1.53783466255406</v>
      </c>
    </row>
    <row r="90" customFormat="false" ht="15" hidden="false" customHeight="false" outlineLevel="0" collapsed="false">
      <c r="A90" s="0" t="n">
        <f aca="false">A89+5</f>
        <v>700</v>
      </c>
      <c r="B90" s="0" t="n">
        <f aca="false">(A90-$B$21)^2</f>
        <v>302500</v>
      </c>
      <c r="C90" s="0" t="n">
        <f aca="false">$B$23*SQRT(1+(1/18)+(B90/$D$21))</f>
        <v>0.0794324277116055</v>
      </c>
      <c r="D90" s="0" t="n">
        <f aca="false">(0.00451*A90)-1.7651</f>
        <v>1.3919</v>
      </c>
      <c r="E90" s="0" t="n">
        <f aca="false">D90-($I$28*C90)</f>
        <v>1.2235032532514</v>
      </c>
      <c r="F90" s="0" t="n">
        <f aca="false">D90+($I$28*C90)</f>
        <v>1.5602967467486</v>
      </c>
    </row>
    <row r="91" customFormat="false" ht="15" hidden="false" customHeight="false" outlineLevel="0" collapsed="false">
      <c r="A91" s="0" t="n">
        <f aca="false">A90+5</f>
        <v>705</v>
      </c>
      <c r="B91" s="0" t="n">
        <f aca="false">(A91-$B$21)^2</f>
        <v>297025</v>
      </c>
      <c r="C91" s="0" t="n">
        <f aca="false">$B$23*SQRT(1+(1/18)+(B91/$D$21))</f>
        <v>0.0793913119152585</v>
      </c>
      <c r="D91" s="0" t="n">
        <f aca="false">(0.00451*A91)-1.7651</f>
        <v>1.41445</v>
      </c>
      <c r="E91" s="0" t="n">
        <f aca="false">D91-($I$28*C91)</f>
        <v>1.24614041873965</v>
      </c>
      <c r="F91" s="0" t="n">
        <f aca="false">D91+($I$28*C91)</f>
        <v>1.58275958126035</v>
      </c>
    </row>
    <row r="92" customFormat="false" ht="15" hidden="false" customHeight="false" outlineLevel="0" collapsed="false">
      <c r="A92" s="0" t="n">
        <f aca="false">A91+5</f>
        <v>710</v>
      </c>
      <c r="B92" s="0" t="n">
        <f aca="false">(A92-$B$21)^2</f>
        <v>291600</v>
      </c>
      <c r="C92" s="0" t="n">
        <f aca="false">$B$23*SQRT(1+(1/18)+(B92/$D$21))</f>
        <v>0.0793505505922806</v>
      </c>
      <c r="D92" s="0" t="n">
        <f aca="false">(0.00451*A92)-1.7651</f>
        <v>1.437</v>
      </c>
      <c r="E92" s="0" t="n">
        <f aca="false">D92-($I$28*C92)</f>
        <v>1.26877683274437</v>
      </c>
      <c r="F92" s="0" t="n">
        <f aca="false">D92+($I$28*C92)</f>
        <v>1.60522316725564</v>
      </c>
    </row>
    <row r="93" customFormat="false" ht="15" hidden="false" customHeight="false" outlineLevel="0" collapsed="false">
      <c r="A93" s="0" t="n">
        <f aca="false">A92+5</f>
        <v>715</v>
      </c>
      <c r="B93" s="0" t="n">
        <f aca="false">(A93-$B$21)^2</f>
        <v>286225</v>
      </c>
      <c r="C93" s="0" t="n">
        <f aca="false">$B$23*SQRT(1+(1/18)+(B93/$D$21))</f>
        <v>0.0793101442892149</v>
      </c>
      <c r="D93" s="0" t="n">
        <f aca="false">(0.00451*A93)-1.7651</f>
        <v>1.45955</v>
      </c>
      <c r="E93" s="0" t="n">
        <f aca="false">D93-($I$28*C93)</f>
        <v>1.29141249410686</v>
      </c>
      <c r="F93" s="0" t="n">
        <f aca="false">D93+($I$28*C93)</f>
        <v>1.62768750589314</v>
      </c>
    </row>
    <row r="94" customFormat="false" ht="15" hidden="false" customHeight="false" outlineLevel="0" collapsed="false">
      <c r="A94" s="0" t="n">
        <f aca="false">A93+5</f>
        <v>720</v>
      </c>
      <c r="B94" s="0" t="n">
        <f aca="false">(A94-$B$21)^2</f>
        <v>280900</v>
      </c>
      <c r="C94" s="0" t="n">
        <f aca="false">$B$23*SQRT(1+(1/18)+(B94/$D$21))</f>
        <v>0.0792700935489538</v>
      </c>
      <c r="D94" s="0" t="n">
        <f aca="false">(0.00451*A94)-1.7651</f>
        <v>1.4821</v>
      </c>
      <c r="E94" s="0" t="n">
        <f aca="false">D94-($I$28*C94)</f>
        <v>1.31404740167622</v>
      </c>
      <c r="F94" s="0" t="n">
        <f aca="false">D94+($I$28*C94)</f>
        <v>1.65015259832378</v>
      </c>
    </row>
    <row r="95" customFormat="false" ht="15" hidden="false" customHeight="false" outlineLevel="0" collapsed="false">
      <c r="A95" s="0" t="n">
        <f aca="false">A94+5</f>
        <v>725</v>
      </c>
      <c r="B95" s="0" t="n">
        <f aca="false">(A95-$B$21)^2</f>
        <v>275625</v>
      </c>
      <c r="C95" s="0" t="n">
        <f aca="false">$B$23*SQRT(1+(1/18)+(B95/$D$21))</f>
        <v>0.0792303989107051</v>
      </c>
      <c r="D95" s="0" t="n">
        <f aca="false">(0.00451*A95)-1.7651</f>
        <v>1.50465</v>
      </c>
      <c r="E95" s="0" t="n">
        <f aca="false">D95-($I$28*C95)</f>
        <v>1.33668155430931</v>
      </c>
      <c r="F95" s="0" t="n">
        <f aca="false">D95+($I$28*C95)</f>
        <v>1.6726184456907</v>
      </c>
    </row>
    <row r="96" customFormat="false" ht="15" hidden="false" customHeight="false" outlineLevel="0" collapsed="false">
      <c r="A96" s="0" t="n">
        <f aca="false">A95+5</f>
        <v>730</v>
      </c>
      <c r="B96" s="0" t="n">
        <f aca="false">(A96-$B$21)^2</f>
        <v>270400</v>
      </c>
      <c r="C96" s="0" t="n">
        <f aca="false">$B$23*SQRT(1+(1/18)+(B96/$D$21))</f>
        <v>0.0791910609099589</v>
      </c>
      <c r="D96" s="0" t="n">
        <f aca="false">(0.00451*A96)-1.7651</f>
        <v>1.5272</v>
      </c>
      <c r="E96" s="0" t="n">
        <f aca="false">D96-($I$28*C96)</f>
        <v>1.35931495087089</v>
      </c>
      <c r="F96" s="0" t="n">
        <f aca="false">D96+($I$28*C96)</f>
        <v>1.69508504912911</v>
      </c>
    </row>
    <row r="97" customFormat="false" ht="15" hidden="false" customHeight="false" outlineLevel="0" collapsed="false">
      <c r="A97" s="0" t="n">
        <f aca="false">A96+5</f>
        <v>735</v>
      </c>
      <c r="B97" s="0" t="n">
        <f aca="false">(A97-$B$21)^2</f>
        <v>265225</v>
      </c>
      <c r="C97" s="0" t="n">
        <f aca="false">$B$23*SQRT(1+(1/18)+(B97/$D$21))</f>
        <v>0.0791520800784538</v>
      </c>
      <c r="D97" s="0" t="n">
        <f aca="false">(0.00451*A97)-1.7651</f>
        <v>1.54975</v>
      </c>
      <c r="E97" s="0" t="n">
        <f aca="false">D97-($I$28*C97)</f>
        <v>1.38194759023368</v>
      </c>
      <c r="F97" s="0" t="n">
        <f aca="false">D97+($I$28*C97)</f>
        <v>1.71755240976632</v>
      </c>
    </row>
    <row r="98" customFormat="false" ht="15" hidden="false" customHeight="false" outlineLevel="0" collapsed="false">
      <c r="A98" s="0" t="n">
        <f aca="false">A97+5</f>
        <v>740</v>
      </c>
      <c r="B98" s="0" t="n">
        <f aca="false">(A98-$B$21)^2</f>
        <v>260100</v>
      </c>
      <c r="C98" s="0" t="n">
        <f aca="false">$B$23*SQRT(1+(1/18)+(B98/$D$21))</f>
        <v>0.0791134569441439</v>
      </c>
      <c r="D98" s="0" t="n">
        <f aca="false">(0.00451*A98)-1.7651</f>
        <v>1.5723</v>
      </c>
      <c r="E98" s="0" t="n">
        <f aca="false">D98-($I$28*C98)</f>
        <v>1.40457947127842</v>
      </c>
      <c r="F98" s="0" t="n">
        <f aca="false">D98+($I$28*C98)</f>
        <v>1.74002052872159</v>
      </c>
    </row>
    <row r="99" customFormat="false" ht="15" hidden="false" customHeight="false" outlineLevel="0" collapsed="false">
      <c r="A99" s="0" t="n">
        <f aca="false">A98+5</f>
        <v>745</v>
      </c>
      <c r="B99" s="0" t="n">
        <f aca="false">(A99-$B$21)^2</f>
        <v>255025</v>
      </c>
      <c r="C99" s="0" t="n">
        <f aca="false">$B$23*SQRT(1+(1/18)+(B99/$D$21))</f>
        <v>0.079075192031165</v>
      </c>
      <c r="D99" s="0" t="n">
        <f aca="false">(0.00451*A99)-1.7651</f>
        <v>1.59485</v>
      </c>
      <c r="E99" s="0" t="n">
        <f aca="false">D99-($I$28*C99)</f>
        <v>1.42721059289393</v>
      </c>
      <c r="F99" s="0" t="n">
        <f aca="false">D99+($I$28*C99)</f>
        <v>1.76248940710607</v>
      </c>
    </row>
    <row r="100" customFormat="false" ht="15" hidden="false" customHeight="false" outlineLevel="0" collapsed="false">
      <c r="A100" s="0" t="n">
        <f aca="false">A99+5</f>
        <v>750</v>
      </c>
      <c r="B100" s="0" t="n">
        <f aca="false">(A100-$B$21)^2</f>
        <v>250000</v>
      </c>
      <c r="C100" s="0" t="n">
        <f aca="false">$B$23*SQRT(1+(1/18)+(B100/$D$21))</f>
        <v>0.0790372858598024</v>
      </c>
      <c r="D100" s="0" t="n">
        <f aca="false">(0.00451*A100)-1.7651</f>
        <v>1.6174</v>
      </c>
      <c r="E100" s="0" t="n">
        <f aca="false">D100-($I$28*C100)</f>
        <v>1.44984095397722</v>
      </c>
      <c r="F100" s="0" t="n">
        <f aca="false">D100+($I$28*C100)</f>
        <v>1.78495904602278</v>
      </c>
    </row>
    <row r="101" customFormat="false" ht="15" hidden="false" customHeight="false" outlineLevel="0" collapsed="false">
      <c r="A101" s="0" t="n">
        <f aca="false">A100+5</f>
        <v>755</v>
      </c>
      <c r="B101" s="0" t="n">
        <f aca="false">(A101-$B$21)^2</f>
        <v>245025</v>
      </c>
      <c r="C101" s="0" t="n">
        <f aca="false">$B$23*SQRT(1+(1/18)+(B101/$D$21))</f>
        <v>0.0789997389464574</v>
      </c>
      <c r="D101" s="0" t="n">
        <f aca="false">(0.00451*A101)-1.7651</f>
        <v>1.63995</v>
      </c>
      <c r="E101" s="0" t="n">
        <f aca="false">D101-($I$28*C101)</f>
        <v>1.47247055343351</v>
      </c>
      <c r="F101" s="0" t="n">
        <f aca="false">D101+($I$28*C101)</f>
        <v>1.80742944656649</v>
      </c>
    </row>
    <row r="102" customFormat="false" ht="15" hidden="false" customHeight="false" outlineLevel="0" collapsed="false">
      <c r="A102" s="0" t="n">
        <f aca="false">A101+5</f>
        <v>760</v>
      </c>
      <c r="B102" s="0" t="n">
        <f aca="false">(A102-$B$21)^2</f>
        <v>240100</v>
      </c>
      <c r="C102" s="0" t="n">
        <f aca="false">$B$23*SQRT(1+(1/18)+(B102/$D$21))</f>
        <v>0.0789625518036145</v>
      </c>
      <c r="D102" s="0" t="n">
        <f aca="false">(0.00451*A102)-1.7651</f>
        <v>1.6625</v>
      </c>
      <c r="E102" s="0" t="n">
        <f aca="false">D102-($I$28*C102)</f>
        <v>1.49509939017634</v>
      </c>
      <c r="F102" s="0" t="n">
        <f aca="false">D102+($I$28*C102)</f>
        <v>1.82990060982366</v>
      </c>
    </row>
    <row r="103" customFormat="false" ht="15" hidden="false" customHeight="false" outlineLevel="0" collapsed="false">
      <c r="A103" s="0" t="n">
        <f aca="false">A102+5</f>
        <v>765</v>
      </c>
      <c r="B103" s="0" t="n">
        <f aca="false">(A103-$B$21)^2</f>
        <v>235225</v>
      </c>
      <c r="C103" s="0" t="n">
        <f aca="false">$B$23*SQRT(1+(1/18)+(B103/$D$21))</f>
        <v>0.0789257249398088</v>
      </c>
      <c r="D103" s="0" t="n">
        <f aca="false">(0.00451*A103)-1.7651</f>
        <v>1.68505</v>
      </c>
      <c r="E103" s="0" t="n">
        <f aca="false">D103-($I$28*C103)</f>
        <v>1.51772746312761</v>
      </c>
      <c r="F103" s="0" t="n">
        <f aca="false">D103+($I$28*C103)</f>
        <v>1.8523725368724</v>
      </c>
    </row>
    <row r="104" customFormat="false" ht="15" hidden="false" customHeight="false" outlineLevel="0" collapsed="false">
      <c r="A104" s="0" t="n">
        <f aca="false">A103+5</f>
        <v>770</v>
      </c>
      <c r="B104" s="0" t="n">
        <f aca="false">(A104-$B$21)^2</f>
        <v>230400</v>
      </c>
      <c r="C104" s="0" t="n">
        <f aca="false">$B$23*SQRT(1+(1/18)+(B104/$D$21))</f>
        <v>0.0788892588595939</v>
      </c>
      <c r="D104" s="0" t="n">
        <f aca="false">(0.00451*A104)-1.7651</f>
        <v>1.7076</v>
      </c>
      <c r="E104" s="0" t="n">
        <f aca="false">D104-($I$28*C104)</f>
        <v>1.54035477121766</v>
      </c>
      <c r="F104" s="0" t="n">
        <f aca="false">D104+($I$28*C104)</f>
        <v>1.87484522878234</v>
      </c>
    </row>
    <row r="105" customFormat="false" ht="15" hidden="false" customHeight="false" outlineLevel="0" collapsed="false">
      <c r="A105" s="0" t="n">
        <f aca="false">A104+5</f>
        <v>775</v>
      </c>
      <c r="B105" s="0" t="n">
        <f aca="false">(A105-$B$21)^2</f>
        <v>225625</v>
      </c>
      <c r="C105" s="0" t="n">
        <f aca="false">$B$23*SQRT(1+(1/18)+(B105/$D$21))</f>
        <v>0.0788531540635088</v>
      </c>
      <c r="D105" s="0" t="n">
        <f aca="false">(0.00451*A105)-1.7651</f>
        <v>1.73015</v>
      </c>
      <c r="E105" s="0" t="n">
        <f aca="false">D105-($I$28*C105)</f>
        <v>1.56298131338536</v>
      </c>
      <c r="F105" s="0" t="n">
        <f aca="false">D105+($I$28*C105)</f>
        <v>1.89731868661464</v>
      </c>
    </row>
    <row r="106" customFormat="false" ht="15" hidden="false" customHeight="false" outlineLevel="0" collapsed="false">
      <c r="A106" s="0" t="n">
        <f aca="false">A105+5</f>
        <v>780</v>
      </c>
      <c r="B106" s="0" t="n">
        <f aca="false">(A106-$B$21)^2</f>
        <v>220900</v>
      </c>
      <c r="C106" s="0" t="n">
        <f aca="false">$B$23*SQRT(1+(1/18)+(B106/$D$21))</f>
        <v>0.0788174110480462</v>
      </c>
      <c r="D106" s="0" t="n">
        <f aca="false">(0.00451*A106)-1.7651</f>
        <v>1.7527</v>
      </c>
      <c r="E106" s="0" t="n">
        <f aca="false">D106-($I$28*C106)</f>
        <v>1.58560708857814</v>
      </c>
      <c r="F106" s="0" t="n">
        <f aca="false">D106+($I$28*C106)</f>
        <v>1.91979291142186</v>
      </c>
    </row>
    <row r="107" customFormat="false" ht="15" hidden="false" customHeight="false" outlineLevel="0" collapsed="false">
      <c r="A107" s="0" t="n">
        <f aca="false">A106+5</f>
        <v>785</v>
      </c>
      <c r="B107" s="0" t="n">
        <f aca="false">(A107-$B$21)^2</f>
        <v>216225</v>
      </c>
      <c r="C107" s="0" t="n">
        <f aca="false">$B$23*SQRT(1+(1/18)+(B107/$D$21))</f>
        <v>0.0787820303056203</v>
      </c>
      <c r="D107" s="0" t="n">
        <f aca="false">(0.00451*A107)-1.7651</f>
        <v>1.77525</v>
      </c>
      <c r="E107" s="0" t="n">
        <f aca="false">D107-($I$28*C107)</f>
        <v>1.60823209575209</v>
      </c>
      <c r="F107" s="0" t="n">
        <f aca="false">D107+($I$28*C107)</f>
        <v>1.94226790424792</v>
      </c>
    </row>
    <row r="108" customFormat="false" ht="15" hidden="false" customHeight="false" outlineLevel="0" collapsed="false">
      <c r="A108" s="0" t="n">
        <f aca="false">A107+5</f>
        <v>790</v>
      </c>
      <c r="B108" s="0" t="n">
        <f aca="false">(A108-$B$21)^2</f>
        <v>211600</v>
      </c>
      <c r="C108" s="0" t="n">
        <f aca="false">$B$23*SQRT(1+(1/18)+(B108/$D$21))</f>
        <v>0.078747012324535</v>
      </c>
      <c r="D108" s="0" t="n">
        <f aca="false">(0.00451*A108)-1.7651</f>
        <v>1.7978</v>
      </c>
      <c r="E108" s="0" t="n">
        <f aca="false">D108-($I$28*C108)</f>
        <v>1.63085633387199</v>
      </c>
      <c r="F108" s="0" t="n">
        <f aca="false">D108+($I$28*C108)</f>
        <v>1.96474366612801</v>
      </c>
    </row>
    <row r="109" customFormat="false" ht="15" hidden="false" customHeight="false" outlineLevel="0" collapsed="false">
      <c r="A109" s="0" t="n">
        <f aca="false">A108+5</f>
        <v>795</v>
      </c>
      <c r="B109" s="0" t="n">
        <f aca="false">(A109-$B$21)^2</f>
        <v>207025</v>
      </c>
      <c r="C109" s="0" t="n">
        <f aca="false">$B$23*SQRT(1+(1/18)+(B109/$D$21))</f>
        <v>0.078712357588952</v>
      </c>
      <c r="D109" s="0" t="n">
        <f aca="false">(0.00451*A109)-1.7651</f>
        <v>1.82035</v>
      </c>
      <c r="E109" s="0" t="n">
        <f aca="false">D109-($I$28*C109)</f>
        <v>1.65347980191142</v>
      </c>
      <c r="F109" s="0" t="n">
        <f aca="false">D109+($I$28*C109)</f>
        <v>1.98722019808858</v>
      </c>
    </row>
    <row r="110" customFormat="false" ht="15" hidden="false" customHeight="false" outlineLevel="0" collapsed="false">
      <c r="A110" s="0" t="n">
        <f aca="false">A109+5</f>
        <v>800</v>
      </c>
      <c r="B110" s="0" t="n">
        <f aca="false">(A110-$B$21)^2</f>
        <v>202500</v>
      </c>
      <c r="C110" s="0" t="n">
        <f aca="false">$B$23*SQRT(1+(1/18)+(B110/$D$21))</f>
        <v>0.0786780665788593</v>
      </c>
      <c r="D110" s="0" t="n">
        <f aca="false">(0.00451*A110)-1.7651</f>
        <v>1.8429</v>
      </c>
      <c r="E110" s="0" t="n">
        <f aca="false">D110-($I$28*C110)</f>
        <v>1.67610249885282</v>
      </c>
      <c r="F110" s="0" t="n">
        <f aca="false">D110+($I$28*C110)</f>
        <v>2.00969750114718</v>
      </c>
    </row>
    <row r="111" customFormat="false" ht="15" hidden="false" customHeight="false" outlineLevel="0" collapsed="false">
      <c r="A111" s="0" t="n">
        <f aca="false">A110+5</f>
        <v>805</v>
      </c>
      <c r="B111" s="0" t="n">
        <f aca="false">(A111-$B$21)^2</f>
        <v>198025</v>
      </c>
      <c r="C111" s="0" t="n">
        <f aca="false">$B$23*SQRT(1+(1/18)+(B111/$D$21))</f>
        <v>0.0786441397700399</v>
      </c>
      <c r="D111" s="0" t="n">
        <f aca="false">(0.00451*A111)-1.7651</f>
        <v>1.86545</v>
      </c>
      <c r="E111" s="0" t="n">
        <f aca="false">D111-($I$28*C111)</f>
        <v>1.69872442368752</v>
      </c>
      <c r="F111" s="0" t="n">
        <f aca="false">D111+($I$28*C111)</f>
        <v>2.03217557631248</v>
      </c>
    </row>
    <row r="112" customFormat="false" ht="15" hidden="false" customHeight="false" outlineLevel="0" collapsed="false">
      <c r="A112" s="0" t="n">
        <f aca="false">A111+5</f>
        <v>810</v>
      </c>
      <c r="B112" s="0" t="n">
        <f aca="false">(A112-$B$21)^2</f>
        <v>193600</v>
      </c>
      <c r="C112" s="0" t="n">
        <f aca="false">$B$23*SQRT(1+(1/18)+(B112/$D$21))</f>
        <v>0.0786105776340405</v>
      </c>
      <c r="D112" s="0" t="n">
        <f aca="false">(0.00451*A112)-1.7651</f>
        <v>1.888</v>
      </c>
      <c r="E112" s="0" t="n">
        <f aca="false">D112-($I$28*C112)</f>
        <v>1.72134557541583</v>
      </c>
      <c r="F112" s="0" t="n">
        <f aca="false">D112+($I$28*C112)</f>
        <v>2.05465442458417</v>
      </c>
    </row>
    <row r="113" customFormat="false" ht="15" hidden="false" customHeight="false" outlineLevel="0" collapsed="false">
      <c r="A113" s="0" t="n">
        <f aca="false">A112+5</f>
        <v>815</v>
      </c>
      <c r="B113" s="0" t="n">
        <f aca="false">(A113-$B$21)^2</f>
        <v>189225</v>
      </c>
      <c r="C113" s="0" t="n">
        <f aca="false">$B$23*SQRT(1+(1/18)+(B113/$D$21))</f>
        <v>0.0785773806381406</v>
      </c>
      <c r="D113" s="0" t="n">
        <f aca="false">(0.00451*A113)-1.7651</f>
        <v>1.91055</v>
      </c>
      <c r="E113" s="0" t="n">
        <f aca="false">D113-($I$28*C113)</f>
        <v>1.74396595304714</v>
      </c>
      <c r="F113" s="0" t="n">
        <f aca="false">D113+($I$28*C113)</f>
        <v>2.07713404695286</v>
      </c>
    </row>
    <row r="114" customFormat="false" ht="15" hidden="false" customHeight="false" outlineLevel="0" collapsed="false">
      <c r="A114" s="0" t="n">
        <f aca="false">A113+5</f>
        <v>820</v>
      </c>
      <c r="B114" s="0" t="n">
        <f aca="false">(A114-$B$21)^2</f>
        <v>184900</v>
      </c>
      <c r="C114" s="0" t="n">
        <f aca="false">$B$23*SQRT(1+(1/18)+(B114/$D$21))</f>
        <v>0.0785445492453216</v>
      </c>
      <c r="D114" s="0" t="n">
        <f aca="false">(0.00451*A114)-1.7651</f>
        <v>1.9331</v>
      </c>
      <c r="E114" s="0" t="n">
        <f aca="false">D114-($I$28*C114)</f>
        <v>1.76658555559992</v>
      </c>
      <c r="F114" s="0" t="n">
        <f aca="false">D114+($I$28*C114)</f>
        <v>2.09961444440008</v>
      </c>
    </row>
    <row r="115" customFormat="false" ht="15" hidden="false" customHeight="false" outlineLevel="0" collapsed="false">
      <c r="A115" s="0" t="n">
        <f aca="false">A114+5</f>
        <v>825</v>
      </c>
      <c r="B115" s="0" t="n">
        <f aca="false">(A115-$B$21)^2</f>
        <v>180625</v>
      </c>
      <c r="C115" s="0" t="n">
        <f aca="false">$B$23*SQRT(1+(1/18)+(B115/$D$21))</f>
        <v>0.078512083914236</v>
      </c>
      <c r="D115" s="0" t="n">
        <f aca="false">(0.00451*A115)-1.7651</f>
        <v>1.95565</v>
      </c>
      <c r="E115" s="0" t="n">
        <f aca="false">D115-($I$28*C115)</f>
        <v>1.78920438210182</v>
      </c>
      <c r="F115" s="0" t="n">
        <f aca="false">D115+($I$28*C115)</f>
        <v>2.12209561789818</v>
      </c>
    </row>
    <row r="116" customFormat="false" ht="15" hidden="false" customHeight="false" outlineLevel="0" collapsed="false">
      <c r="A116" s="0" t="n">
        <f aca="false">A115+5</f>
        <v>830</v>
      </c>
      <c r="B116" s="0" t="n">
        <f aca="false">(A116-$B$21)^2</f>
        <v>176400</v>
      </c>
      <c r="C116" s="0" t="n">
        <f aca="false">$B$23*SQRT(1+(1/18)+(B116/$D$21))</f>
        <v>0.0784799850991775</v>
      </c>
      <c r="D116" s="0" t="n">
        <f aca="false">(0.00451*A116)-1.7651</f>
        <v>1.9782</v>
      </c>
      <c r="E116" s="0" t="n">
        <f aca="false">D116-($I$28*C116)</f>
        <v>1.81182243158974</v>
      </c>
      <c r="F116" s="0" t="n">
        <f aca="false">D116+($I$28*C116)</f>
        <v>2.14457756841026</v>
      </c>
    </row>
    <row r="117" customFormat="false" ht="15" hidden="false" customHeight="false" outlineLevel="0" collapsed="false">
      <c r="A117" s="0" t="n">
        <f aca="false">A116+5</f>
        <v>835</v>
      </c>
      <c r="B117" s="0" t="n">
        <f aca="false">(A117-$B$21)^2</f>
        <v>172225</v>
      </c>
      <c r="C117" s="0" t="n">
        <f aca="false">$B$23*SQRT(1+(1/18)+(B117/$D$21))</f>
        <v>0.0784482532500501</v>
      </c>
      <c r="D117" s="0" t="n">
        <f aca="false">(0.00451*A117)-1.7651</f>
        <v>2.00075</v>
      </c>
      <c r="E117" s="0" t="n">
        <f aca="false">D117-($I$28*C117)</f>
        <v>1.83443970310989</v>
      </c>
      <c r="F117" s="0" t="n">
        <f aca="false">D117+($I$28*C117)</f>
        <v>2.16706029689011</v>
      </c>
    </row>
    <row r="118" customFormat="false" ht="15" hidden="false" customHeight="false" outlineLevel="0" collapsed="false">
      <c r="A118" s="0" t="n">
        <f aca="false">A117+5</f>
        <v>840</v>
      </c>
      <c r="B118" s="0" t="n">
        <f aca="false">(A118-$B$21)^2</f>
        <v>168100</v>
      </c>
      <c r="C118" s="0" t="n">
        <f aca="false">$B$23*SQRT(1+(1/18)+(B118/$D$21))</f>
        <v>0.0784168888123385</v>
      </c>
      <c r="D118" s="0" t="n">
        <f aca="false">(0.00451*A118)-1.7651</f>
        <v>2.0233</v>
      </c>
      <c r="E118" s="0" t="n">
        <f aca="false">D118-($I$28*C118)</f>
        <v>1.85705619571784</v>
      </c>
      <c r="F118" s="0" t="n">
        <f aca="false">D118+($I$28*C118)</f>
        <v>2.18954380428216</v>
      </c>
    </row>
    <row r="119" customFormat="false" ht="15" hidden="false" customHeight="false" outlineLevel="0" collapsed="false">
      <c r="A119" s="0" t="n">
        <f aca="false">A118+5</f>
        <v>845</v>
      </c>
      <c r="B119" s="0" t="n">
        <f aca="false">(A119-$B$21)^2</f>
        <v>164025</v>
      </c>
      <c r="C119" s="0" t="n">
        <f aca="false">$B$23*SQRT(1+(1/18)+(B119/$D$21))</f>
        <v>0.078385892227078</v>
      </c>
      <c r="D119" s="0" t="n">
        <f aca="false">(0.00451*A119)-1.7651</f>
        <v>2.04585</v>
      </c>
      <c r="E119" s="0" t="n">
        <f aca="false">D119-($I$28*C119)</f>
        <v>1.87967190847859</v>
      </c>
      <c r="F119" s="0" t="n">
        <f aca="false">D119+($I$28*C119)</f>
        <v>2.21202809152141</v>
      </c>
    </row>
    <row r="120" customFormat="false" ht="15" hidden="false" customHeight="false" outlineLevel="0" collapsed="false">
      <c r="A120" s="0" t="n">
        <f aca="false">A119+5</f>
        <v>850</v>
      </c>
      <c r="B120" s="0" t="n">
        <f aca="false">(A120-$B$21)^2</f>
        <v>160000</v>
      </c>
      <c r="C120" s="0" t="n">
        <f aca="false">$B$23*SQRT(1+(1/18)+(B120/$D$21))</f>
        <v>0.0783552639308255</v>
      </c>
      <c r="D120" s="0" t="n">
        <f aca="false">(0.00451*A120)-1.7651</f>
        <v>2.0684</v>
      </c>
      <c r="E120" s="0" t="n">
        <f aca="false">D120-($I$28*C120)</f>
        <v>1.90228684046665</v>
      </c>
      <c r="F120" s="0" t="n">
        <f aca="false">D120+($I$28*C120)</f>
        <v>2.23451315953335</v>
      </c>
    </row>
    <row r="121" customFormat="false" ht="15" hidden="false" customHeight="false" outlineLevel="0" collapsed="false">
      <c r="A121" s="0" t="n">
        <f aca="false">A120+5</f>
        <v>855</v>
      </c>
      <c r="B121" s="0" t="n">
        <f aca="false">(A121-$B$21)^2</f>
        <v>156025</v>
      </c>
      <c r="C121" s="0" t="n">
        <f aca="false">$B$23*SQRT(1+(1/18)+(B121/$D$21))</f>
        <v>0.0783250043556292</v>
      </c>
      <c r="D121" s="0" t="n">
        <f aca="false">(0.00451*A121)-1.7651</f>
        <v>2.09095</v>
      </c>
      <c r="E121" s="0" t="n">
        <f aca="false">D121-($I$28*C121)</f>
        <v>1.92490099076607</v>
      </c>
      <c r="F121" s="0" t="n">
        <f aca="false">D121+($I$28*C121)</f>
        <v>2.25699900923393</v>
      </c>
    </row>
    <row r="122" customFormat="false" ht="15" hidden="false" customHeight="false" outlineLevel="0" collapsed="false">
      <c r="A122" s="0" t="n">
        <f aca="false">A121+5</f>
        <v>860</v>
      </c>
      <c r="B122" s="0" t="n">
        <f aca="false">(A122-$B$21)^2</f>
        <v>152100</v>
      </c>
      <c r="C122" s="0" t="n">
        <f aca="false">$B$23*SQRT(1+(1/18)+(B122/$D$21))</f>
        <v>0.0782951139290002</v>
      </c>
      <c r="D122" s="0" t="n">
        <f aca="false">(0.00451*A122)-1.7651</f>
        <v>2.1135</v>
      </c>
      <c r="E122" s="0" t="n">
        <f aca="false">D122-($I$28*C122)</f>
        <v>1.94751435847052</v>
      </c>
      <c r="F122" s="0" t="n">
        <f aca="false">D122+($I$28*C122)</f>
        <v>2.27948564152948</v>
      </c>
    </row>
    <row r="123" customFormat="false" ht="15" hidden="false" customHeight="false" outlineLevel="0" collapsed="false">
      <c r="A123" s="0" t="n">
        <f aca="false">A122+5</f>
        <v>865</v>
      </c>
      <c r="B123" s="0" t="n">
        <f aca="false">(A123-$B$21)^2</f>
        <v>148225</v>
      </c>
      <c r="C123" s="0" t="n">
        <f aca="false">$B$23*SQRT(1+(1/18)+(B123/$D$21))</f>
        <v>0.0782655930738835</v>
      </c>
      <c r="D123" s="0" t="n">
        <f aca="false">(0.00451*A123)-1.7651</f>
        <v>2.13605</v>
      </c>
      <c r="E123" s="0" t="n">
        <f aca="false">D123-($I$28*C123)</f>
        <v>1.97012694268337</v>
      </c>
      <c r="F123" s="0" t="n">
        <f aca="false">D123+($I$28*C123)</f>
        <v>2.30197305731663</v>
      </c>
    </row>
    <row r="124" customFormat="false" ht="15" hidden="false" customHeight="false" outlineLevel="0" collapsed="false">
      <c r="A124" s="0" t="n">
        <f aca="false">A123+5</f>
        <v>870</v>
      </c>
      <c r="B124" s="0" t="n">
        <f aca="false">(A124-$B$21)^2</f>
        <v>144400</v>
      </c>
      <c r="C124" s="0" t="n">
        <f aca="false">$B$23*SQRT(1+(1/18)+(B124/$D$21))</f>
        <v>0.0782364422086286</v>
      </c>
      <c r="D124" s="0" t="n">
        <f aca="false">(0.00451*A124)-1.7651</f>
        <v>2.1586</v>
      </c>
      <c r="E124" s="0" t="n">
        <f aca="false">D124-($I$28*C124)</f>
        <v>1.99273874251771</v>
      </c>
      <c r="F124" s="0" t="n">
        <f aca="false">D124+($I$28*C124)</f>
        <v>2.32446125748229</v>
      </c>
    </row>
    <row r="125" customFormat="false" ht="15" hidden="false" customHeight="false" outlineLevel="0" collapsed="false">
      <c r="A125" s="0" t="n">
        <f aca="false">A124+5</f>
        <v>875</v>
      </c>
      <c r="B125" s="0" t="n">
        <f aca="false">(A125-$B$21)^2</f>
        <v>140625</v>
      </c>
      <c r="C125" s="0" t="n">
        <f aca="false">$B$23*SQRT(1+(1/18)+(B125/$D$21))</f>
        <v>0.0782076617469621</v>
      </c>
      <c r="D125" s="0" t="n">
        <f aca="false">(0.00451*A125)-1.7651</f>
        <v>2.18115</v>
      </c>
      <c r="E125" s="0" t="n">
        <f aca="false">D125-($I$28*C125)</f>
        <v>2.01534975709644</v>
      </c>
      <c r="F125" s="0" t="n">
        <f aca="false">D125+($I$28*C125)</f>
        <v>2.34695024290356</v>
      </c>
    </row>
    <row r="126" customFormat="false" ht="15" hidden="false" customHeight="false" outlineLevel="0" collapsed="false">
      <c r="A126" s="0" t="n">
        <f aca="false">A125+5</f>
        <v>880</v>
      </c>
      <c r="B126" s="0" t="n">
        <f aca="false">(A126-$B$21)^2</f>
        <v>136900</v>
      </c>
      <c r="C126" s="0" t="n">
        <f aca="false">$B$23*SQRT(1+(1/18)+(B126/$D$21))</f>
        <v>0.0781792520979587</v>
      </c>
      <c r="D126" s="0" t="n">
        <f aca="false">(0.00451*A126)-1.7651</f>
        <v>2.2037</v>
      </c>
      <c r="E126" s="0" t="n">
        <f aca="false">D126-($I$28*C126)</f>
        <v>2.03795998555233</v>
      </c>
      <c r="F126" s="0" t="n">
        <f aca="false">D126+($I$28*C126)</f>
        <v>2.36944001444767</v>
      </c>
    </row>
    <row r="127" customFormat="false" ht="15" hidden="false" customHeight="false" outlineLevel="0" collapsed="false">
      <c r="A127" s="0" t="n">
        <f aca="false">A126+5</f>
        <v>885</v>
      </c>
      <c r="B127" s="0" t="n">
        <f aca="false">(A127-$B$21)^2</f>
        <v>133225</v>
      </c>
      <c r="C127" s="0" t="n">
        <f aca="false">$B$23*SQRT(1+(1/18)+(B127/$D$21))</f>
        <v>0.0781512136660136</v>
      </c>
      <c r="D127" s="0" t="n">
        <f aca="false">(0.00451*A127)-1.7651</f>
        <v>2.22625</v>
      </c>
      <c r="E127" s="0" t="n">
        <f aca="false">D127-($I$28*C127)</f>
        <v>2.06056942702805</v>
      </c>
      <c r="F127" s="0" t="n">
        <f aca="false">D127+($I$28*C127)</f>
        <v>2.39193057297195</v>
      </c>
    </row>
    <row r="128" customFormat="false" ht="15" hidden="false" customHeight="false" outlineLevel="0" collapsed="false">
      <c r="A128" s="0" t="n">
        <f aca="false">A127+5</f>
        <v>890</v>
      </c>
      <c r="B128" s="0" t="n">
        <f aca="false">(A128-$B$21)^2</f>
        <v>129600</v>
      </c>
      <c r="C128" s="0" t="n">
        <f aca="false">$B$23*SQRT(1+(1/18)+(B128/$D$21))</f>
        <v>0.0781235468508146</v>
      </c>
      <c r="D128" s="0" t="n">
        <f aca="false">(0.00451*A128)-1.7651</f>
        <v>2.2488</v>
      </c>
      <c r="E128" s="0" t="n">
        <f aca="false">D128-($I$28*C128)</f>
        <v>2.08317808067627</v>
      </c>
      <c r="F128" s="0" t="n">
        <f aca="false">D128+($I$28*C128)</f>
        <v>2.41442191932373</v>
      </c>
    </row>
    <row r="129" customFormat="false" ht="15" hidden="false" customHeight="false" outlineLevel="0" collapsed="false">
      <c r="A129" s="0" t="n">
        <f aca="false">A128+5</f>
        <v>895</v>
      </c>
      <c r="B129" s="0" t="n">
        <f aca="false">(A129-$B$21)^2</f>
        <v>126025</v>
      </c>
      <c r="C129" s="0" t="n">
        <f aca="false">$B$23*SQRT(1+(1/18)+(B129/$D$21))</f>
        <v>0.0780962520473148</v>
      </c>
      <c r="D129" s="0" t="n">
        <f aca="false">(0.00451*A129)-1.7651</f>
        <v>2.27135</v>
      </c>
      <c r="E129" s="0" t="n">
        <f aca="false">D129-($I$28*C129)</f>
        <v>2.10578594565969</v>
      </c>
      <c r="F129" s="0" t="n">
        <f aca="false">D129+($I$28*C129)</f>
        <v>2.43691405434031</v>
      </c>
    </row>
    <row r="130" customFormat="false" ht="15" hidden="false" customHeight="false" outlineLevel="0" collapsed="false">
      <c r="A130" s="0" t="n">
        <f aca="false">A129+5</f>
        <v>900</v>
      </c>
      <c r="B130" s="0" t="n">
        <f aca="false">(A130-$B$21)^2</f>
        <v>122500</v>
      </c>
      <c r="C130" s="0" t="n">
        <f aca="false">$B$23*SQRT(1+(1/18)+(B130/$D$21))</f>
        <v>0.0780693296457054</v>
      </c>
      <c r="D130" s="0" t="n">
        <f aca="false">(0.00451*A130)-1.7651</f>
        <v>2.2939</v>
      </c>
      <c r="E130" s="0" t="n">
        <f aca="false">D130-($I$28*C130)</f>
        <v>2.12839302115111</v>
      </c>
      <c r="F130" s="0" t="n">
        <f aca="false">D130+($I$28*C130)</f>
        <v>2.4594069788489</v>
      </c>
    </row>
    <row r="131" customFormat="false" ht="15" hidden="false" customHeight="false" outlineLevel="0" collapsed="false">
      <c r="A131" s="0" t="n">
        <f aca="false">A130+5</f>
        <v>905</v>
      </c>
      <c r="B131" s="0" t="n">
        <f aca="false">(A131-$B$21)^2</f>
        <v>119025</v>
      </c>
      <c r="C131" s="0" t="n">
        <f aca="false">$B$23*SQRT(1+(1/18)+(B131/$D$21))</f>
        <v>0.0780427800313885</v>
      </c>
      <c r="D131" s="0" t="n">
        <f aca="false">(0.00451*A131)-1.7651</f>
        <v>2.31645</v>
      </c>
      <c r="E131" s="0" t="n">
        <f aca="false">D131-($I$28*C131)</f>
        <v>2.15099930633346</v>
      </c>
      <c r="F131" s="0" t="n">
        <f aca="false">D131+($I$28*C131)</f>
        <v>2.48190069366654</v>
      </c>
    </row>
    <row r="132" customFormat="false" ht="15" hidden="false" customHeight="false" outlineLevel="0" collapsed="false">
      <c r="A132" s="0" t="n">
        <f aca="false">A131+5</f>
        <v>910</v>
      </c>
      <c r="B132" s="0" t="n">
        <f aca="false">(A132-$B$21)^2</f>
        <v>115600</v>
      </c>
      <c r="C132" s="0" t="n">
        <f aca="false">$B$23*SQRT(1+(1/18)+(B132/$D$21))</f>
        <v>0.0780166035849507</v>
      </c>
      <c r="D132" s="0" t="n">
        <f aca="false">(0.00451*A132)-1.7651</f>
        <v>2.339</v>
      </c>
      <c r="E132" s="0" t="n">
        <f aca="false">D132-($I$28*C132)</f>
        <v>2.1736048003999</v>
      </c>
      <c r="F132" s="0" t="n">
        <f aca="false">D132+($I$28*C132)</f>
        <v>2.5043951996001</v>
      </c>
    </row>
    <row r="133" customFormat="false" ht="15" hidden="false" customHeight="false" outlineLevel="0" collapsed="false">
      <c r="A133" s="0" t="n">
        <f aca="false">A132+5</f>
        <v>915</v>
      </c>
      <c r="B133" s="0" t="n">
        <f aca="false">(A133-$B$21)^2</f>
        <v>112225</v>
      </c>
      <c r="C133" s="0" t="n">
        <f aca="false">$B$23*SQRT(1+(1/18)+(B133/$D$21))</f>
        <v>0.0779908006821368</v>
      </c>
      <c r="D133" s="0" t="n">
        <f aca="false">(0.00451*A133)-1.7651</f>
        <v>2.36155</v>
      </c>
      <c r="E133" s="0" t="n">
        <f aca="false">D133-($I$28*C133)</f>
        <v>2.19620950255387</v>
      </c>
      <c r="F133" s="0" t="n">
        <f aca="false">D133+($I$28*C133)</f>
        <v>2.52689049744613</v>
      </c>
    </row>
    <row r="134" customFormat="false" ht="15" hidden="false" customHeight="false" outlineLevel="0" collapsed="false">
      <c r="A134" s="0" t="n">
        <f aca="false">A133+5</f>
        <v>920</v>
      </c>
      <c r="B134" s="0" t="n">
        <f aca="false">(A134-$B$21)^2</f>
        <v>108900</v>
      </c>
      <c r="C134" s="0" t="n">
        <f aca="false">$B$23*SQRT(1+(1/18)+(B134/$D$21))</f>
        <v>0.0779653716938233</v>
      </c>
      <c r="D134" s="0" t="n">
        <f aca="false">(0.00451*A134)-1.7651</f>
        <v>2.3841</v>
      </c>
      <c r="E134" s="0" t="n">
        <f aca="false">D134-($I$28*C134)</f>
        <v>2.2188134120091</v>
      </c>
      <c r="F134" s="0" t="n">
        <f aca="false">D134+($I$28*C134)</f>
        <v>2.54938658799091</v>
      </c>
    </row>
    <row r="135" customFormat="false" ht="15" hidden="false" customHeight="false" outlineLevel="0" collapsed="false">
      <c r="A135" s="0" t="n">
        <f aca="false">A134+5</f>
        <v>925</v>
      </c>
      <c r="B135" s="0" t="n">
        <f aca="false">(A135-$B$21)^2</f>
        <v>105625</v>
      </c>
      <c r="C135" s="0" t="n">
        <f aca="false">$B$23*SQRT(1+(1/18)+(B135/$D$21))</f>
        <v>0.0779403169859928</v>
      </c>
      <c r="D135" s="0" t="n">
        <f aca="false">(0.00451*A135)-1.7651</f>
        <v>2.40665</v>
      </c>
      <c r="E135" s="0" t="n">
        <f aca="false">D135-($I$28*C135)</f>
        <v>2.2414165279897</v>
      </c>
      <c r="F135" s="0" t="n">
        <f aca="false">D135+($I$28*C135)</f>
        <v>2.57188347201031</v>
      </c>
    </row>
    <row r="136" customFormat="false" ht="15" hidden="false" customHeight="false" outlineLevel="0" collapsed="false">
      <c r="A136" s="0" t="n">
        <f aca="false">A135+5</f>
        <v>930</v>
      </c>
      <c r="B136" s="0" t="n">
        <f aca="false">(A136-$B$21)^2</f>
        <v>102400</v>
      </c>
      <c r="C136" s="0" t="n">
        <f aca="false">$B$23*SQRT(1+(1/18)+(B136/$D$21))</f>
        <v>0.0779156369197085</v>
      </c>
      <c r="D136" s="0" t="n">
        <f aca="false">(0.00451*A136)-1.7651</f>
        <v>2.4292</v>
      </c>
      <c r="E136" s="0" t="n">
        <f aca="false">D136-($I$28*C136)</f>
        <v>2.26401884973022</v>
      </c>
      <c r="F136" s="0" t="n">
        <f aca="false">D136+($I$28*C136)</f>
        <v>2.59438115026978</v>
      </c>
    </row>
    <row r="137" customFormat="false" ht="15" hidden="false" customHeight="false" outlineLevel="0" collapsed="false">
      <c r="A137" s="0" t="n">
        <f aca="false">A136+5</f>
        <v>935</v>
      </c>
      <c r="B137" s="0" t="n">
        <f aca="false">(A137-$B$21)^2</f>
        <v>99225</v>
      </c>
      <c r="C137" s="0" t="n">
        <f aca="false">$B$23*SQRT(1+(1/18)+(B137/$D$21))</f>
        <v>0.0778913318510887</v>
      </c>
      <c r="D137" s="0" t="n">
        <f aca="false">(0.00451*A137)-1.7651</f>
        <v>2.45175</v>
      </c>
      <c r="E137" s="0" t="n">
        <f aca="false">D137-($I$28*C137)</f>
        <v>2.28662037647569</v>
      </c>
      <c r="F137" s="0" t="n">
        <f aca="false">D137+($I$28*C137)</f>
        <v>2.61687962352431</v>
      </c>
    </row>
    <row r="138" customFormat="false" ht="15" hidden="false" customHeight="false" outlineLevel="0" collapsed="false">
      <c r="A138" s="0" t="n">
        <f aca="false">A137+5</f>
        <v>940</v>
      </c>
      <c r="B138" s="0" t="n">
        <f aca="false">(A138-$B$21)^2</f>
        <v>96100</v>
      </c>
      <c r="C138" s="0" t="n">
        <f aca="false">$B$23*SQRT(1+(1/18)+(B138/$D$21))</f>
        <v>0.0778674021312821</v>
      </c>
      <c r="D138" s="0" t="n">
        <f aca="false">(0.00451*A138)-1.7651</f>
        <v>2.4743</v>
      </c>
      <c r="E138" s="0" t="n">
        <f aca="false">D138-($I$28*C138)</f>
        <v>2.30922110748168</v>
      </c>
      <c r="F138" s="0" t="n">
        <f aca="false">D138+($I$28*C138)</f>
        <v>2.63937889251832</v>
      </c>
    </row>
    <row r="139" customFormat="false" ht="15" hidden="false" customHeight="false" outlineLevel="0" collapsed="false">
      <c r="A139" s="0" t="n">
        <f aca="false">A138+5</f>
        <v>945</v>
      </c>
      <c r="B139" s="0" t="n">
        <f aca="false">(A139-$B$21)^2</f>
        <v>93025</v>
      </c>
      <c r="C139" s="0" t="n">
        <f aca="false">$B$23*SQRT(1+(1/18)+(B139/$D$21))</f>
        <v>0.0778438481064429</v>
      </c>
      <c r="D139" s="0" t="n">
        <f aca="false">(0.00451*A139)-1.7651</f>
        <v>2.49685</v>
      </c>
      <c r="E139" s="0" t="n">
        <f aca="false">D139-($I$28*C139)</f>
        <v>2.33182104201434</v>
      </c>
      <c r="F139" s="0" t="n">
        <f aca="false">D139+($I$28*C139)</f>
        <v>2.66187895798566</v>
      </c>
    </row>
    <row r="140" customFormat="false" ht="15" hidden="false" customHeight="false" outlineLevel="0" collapsed="false">
      <c r="A140" s="0" t="n">
        <f aca="false">A139+5</f>
        <v>950</v>
      </c>
      <c r="B140" s="0" t="n">
        <f aca="false">(A140-$B$21)^2</f>
        <v>90000</v>
      </c>
      <c r="C140" s="0" t="n">
        <f aca="false">$B$23*SQRT(1+(1/18)+(B140/$D$21))</f>
        <v>0.0778206701177066</v>
      </c>
      <c r="D140" s="0" t="n">
        <f aca="false">(0.00451*A140)-1.7651</f>
        <v>2.5194</v>
      </c>
      <c r="E140" s="0" t="n">
        <f aca="false">D140-($I$28*C140)</f>
        <v>2.35442017935046</v>
      </c>
      <c r="F140" s="0" t="n">
        <f aca="false">D140+($I$28*C140)</f>
        <v>2.68437982064954</v>
      </c>
    </row>
    <row r="141" customFormat="false" ht="15" hidden="false" customHeight="false" outlineLevel="0" collapsed="false">
      <c r="A141" s="0" t="n">
        <f aca="false">A140+5</f>
        <v>955</v>
      </c>
      <c r="B141" s="0" t="n">
        <f aca="false">(A141-$B$21)^2</f>
        <v>87025</v>
      </c>
      <c r="C141" s="0" t="n">
        <f aca="false">$B$23*SQRT(1+(1/18)+(B141/$D$21))</f>
        <v>0.0777978685011655</v>
      </c>
      <c r="D141" s="0" t="n">
        <f aca="false">(0.00451*A141)-1.7651</f>
        <v>2.54195</v>
      </c>
      <c r="E141" s="0" t="n">
        <f aca="false">D141-($I$28*C141)</f>
        <v>2.37701851877753</v>
      </c>
      <c r="F141" s="0" t="n">
        <f aca="false">D141+($I$28*C141)</f>
        <v>2.70688148122247</v>
      </c>
    </row>
    <row r="142" customFormat="false" ht="15" hidden="false" customHeight="false" outlineLevel="0" collapsed="false">
      <c r="A142" s="0" t="n">
        <f aca="false">A141+5</f>
        <v>960</v>
      </c>
      <c r="B142" s="0" t="n">
        <f aca="false">(A142-$B$21)^2</f>
        <v>84100</v>
      </c>
      <c r="C142" s="0" t="n">
        <f aca="false">$B$23*SQRT(1+(1/18)+(B142/$D$21))</f>
        <v>0.0777754435878457</v>
      </c>
      <c r="D142" s="0" t="n">
        <f aca="false">(0.00451*A142)-1.7651</f>
        <v>2.5645</v>
      </c>
      <c r="E142" s="0" t="n">
        <f aca="false">D142-($I$28*C142)</f>
        <v>2.39961605959377</v>
      </c>
      <c r="F142" s="0" t="n">
        <f aca="false">D142+($I$28*C142)</f>
        <v>2.72938394040623</v>
      </c>
    </row>
    <row r="143" customFormat="false" ht="15" hidden="false" customHeight="false" outlineLevel="0" collapsed="false">
      <c r="A143" s="0" t="n">
        <f aca="false">A142+5</f>
        <v>965</v>
      </c>
      <c r="B143" s="0" t="n">
        <f aca="false">(A143-$B$21)^2</f>
        <v>81225</v>
      </c>
      <c r="C143" s="0" t="n">
        <f aca="false">$B$23*SQRT(1+(1/18)+(B143/$D$21))</f>
        <v>0.0777533957036827</v>
      </c>
      <c r="D143" s="0" t="n">
        <f aca="false">(0.00451*A143)-1.7651</f>
        <v>2.58705</v>
      </c>
      <c r="E143" s="0" t="n">
        <f aca="false">D143-($I$28*C143)</f>
        <v>2.42221280110819</v>
      </c>
      <c r="F143" s="0" t="n">
        <f aca="false">D143+($I$28*C143)</f>
        <v>2.75188719889181</v>
      </c>
    </row>
    <row r="144" customFormat="false" ht="15" hidden="false" customHeight="false" outlineLevel="0" collapsed="false">
      <c r="A144" s="0" t="n">
        <f aca="false">A143+5</f>
        <v>970</v>
      </c>
      <c r="B144" s="0" t="n">
        <f aca="false">(A144-$B$21)^2</f>
        <v>78400</v>
      </c>
      <c r="C144" s="0" t="n">
        <f aca="false">$B$23*SQRT(1+(1/18)+(B144/$D$21))</f>
        <v>0.0777317251694992</v>
      </c>
      <c r="D144" s="0" t="n">
        <f aca="false">(0.00451*A144)-1.7651</f>
        <v>2.6096</v>
      </c>
      <c r="E144" s="0" t="n">
        <f aca="false">D144-($I$28*C144)</f>
        <v>2.44480874264066</v>
      </c>
      <c r="F144" s="0" t="n">
        <f aca="false">D144+($I$28*C144)</f>
        <v>2.77439125735934</v>
      </c>
    </row>
    <row r="145" customFormat="false" ht="15" hidden="false" customHeight="false" outlineLevel="0" collapsed="false">
      <c r="A145" s="0" t="n">
        <f aca="false">A144+5</f>
        <v>975</v>
      </c>
      <c r="B145" s="0" t="n">
        <f aca="false">(A145-$B$21)^2</f>
        <v>75625</v>
      </c>
      <c r="C145" s="0" t="n">
        <f aca="false">$B$23*SQRT(1+(1/18)+(B145/$D$21))</f>
        <v>0.0777104323009815</v>
      </c>
      <c r="D145" s="0" t="n">
        <f aca="false">(0.00451*A145)-1.7651</f>
        <v>2.63215</v>
      </c>
      <c r="E145" s="0" t="n">
        <f aca="false">D145-($I$28*C145)</f>
        <v>2.46740388352192</v>
      </c>
      <c r="F145" s="0" t="n">
        <f aca="false">D145+($I$28*C145)</f>
        <v>2.79689611647808</v>
      </c>
    </row>
    <row r="146" customFormat="false" ht="15" hidden="false" customHeight="false" outlineLevel="0" collapsed="false">
      <c r="A146" s="0" t="n">
        <f aca="false">A145+5</f>
        <v>980</v>
      </c>
      <c r="B146" s="0" t="n">
        <f aca="false">(A146-$B$21)^2</f>
        <v>72900</v>
      </c>
      <c r="C146" s="0" t="n">
        <f aca="false">$B$23*SQRT(1+(1/18)+(B146/$D$21))</f>
        <v>0.0776895174086575</v>
      </c>
      <c r="D146" s="0" t="n">
        <f aca="false">(0.00451*A146)-1.7651</f>
        <v>2.6547</v>
      </c>
      <c r="E146" s="0" t="n">
        <f aca="false">D146-($I$28*C146)</f>
        <v>2.48999822309365</v>
      </c>
      <c r="F146" s="0" t="n">
        <f aca="false">D146+($I$28*C146)</f>
        <v>2.81940177690635</v>
      </c>
    </row>
    <row r="147" customFormat="false" ht="15" hidden="false" customHeight="false" outlineLevel="0" collapsed="false">
      <c r="A147" s="0" t="n">
        <f aca="false">A146+5</f>
        <v>985</v>
      </c>
      <c r="B147" s="0" t="n">
        <f aca="false">(A147-$B$21)^2</f>
        <v>70225</v>
      </c>
      <c r="C147" s="0" t="n">
        <f aca="false">$B$23*SQRT(1+(1/18)+(B147/$D$21))</f>
        <v>0.0776689807978741</v>
      </c>
      <c r="D147" s="0" t="n">
        <f aca="false">(0.00451*A147)-1.7651</f>
        <v>2.67725</v>
      </c>
      <c r="E147" s="0" t="n">
        <f aca="false">D147-($I$28*C147)</f>
        <v>2.51259176070851</v>
      </c>
      <c r="F147" s="0" t="n">
        <f aca="false">D147+($I$28*C147)</f>
        <v>2.84190823929149</v>
      </c>
    </row>
    <row r="148" customFormat="false" ht="15" hidden="false" customHeight="false" outlineLevel="0" collapsed="false">
      <c r="A148" s="0" t="n">
        <f aca="false">A147+5</f>
        <v>990</v>
      </c>
      <c r="B148" s="0" t="n">
        <f aca="false">(A148-$B$21)^2</f>
        <v>67600</v>
      </c>
      <c r="C148" s="0" t="n">
        <f aca="false">$B$23*SQRT(1+(1/18)+(B148/$D$21))</f>
        <v>0.0776488227687759</v>
      </c>
      <c r="D148" s="0" t="n">
        <f aca="false">(0.00451*A148)-1.7651</f>
        <v>2.6998</v>
      </c>
      <c r="E148" s="0" t="n">
        <f aca="false">D148-($I$28*C148)</f>
        <v>2.5351844957302</v>
      </c>
      <c r="F148" s="0" t="n">
        <f aca="false">D148+($I$28*C148)</f>
        <v>2.86441550426981</v>
      </c>
    </row>
    <row r="149" customFormat="false" ht="15" hidden="false" customHeight="false" outlineLevel="0" collapsed="false">
      <c r="A149" s="0" t="n">
        <f aca="false">A148+5</f>
        <v>995</v>
      </c>
      <c r="B149" s="0" t="n">
        <f aca="false">(A149-$B$21)^2</f>
        <v>65025</v>
      </c>
      <c r="C149" s="0" t="n">
        <f aca="false">$B$23*SQRT(1+(1/18)+(B149/$D$21))</f>
        <v>0.0776290436162832</v>
      </c>
      <c r="D149" s="0" t="n">
        <f aca="false">(0.00451*A149)-1.7651</f>
        <v>2.72235</v>
      </c>
      <c r="E149" s="0" t="n">
        <f aca="false">D149-($I$28*C149)</f>
        <v>2.55777642753348</v>
      </c>
      <c r="F149" s="0" t="n">
        <f aca="false">D149+($I$28*C149)</f>
        <v>2.88692357246652</v>
      </c>
    </row>
    <row r="150" customFormat="false" ht="15" hidden="false" customHeight="false" outlineLevel="0" collapsed="false">
      <c r="A150" s="0" t="n">
        <f aca="false">A149+5</f>
        <v>1000</v>
      </c>
      <c r="B150" s="0" t="n">
        <f aca="false">(A150-$B$21)^2</f>
        <v>62500</v>
      </c>
      <c r="C150" s="0" t="n">
        <f aca="false">$B$23*SQRT(1+(1/18)+(B150/$D$21))</f>
        <v>0.0776096436300709</v>
      </c>
      <c r="D150" s="0" t="n">
        <f aca="false">(0.00451*A150)-1.7651</f>
        <v>2.7449</v>
      </c>
      <c r="E150" s="0" t="n">
        <f aca="false">D150-($I$28*C150)</f>
        <v>2.58036755550425</v>
      </c>
      <c r="F150" s="0" t="n">
        <f aca="false">D150+($I$28*C150)</f>
        <v>2.90943244449575</v>
      </c>
    </row>
    <row r="151" customFormat="false" ht="15" hidden="false" customHeight="false" outlineLevel="0" collapsed="false">
      <c r="A151" s="0" t="n">
        <f aca="false">A150+5</f>
        <v>1005</v>
      </c>
      <c r="B151" s="0" t="n">
        <f aca="false">(A151-$B$21)^2</f>
        <v>60025</v>
      </c>
      <c r="C151" s="0" t="n">
        <f aca="false">$B$23*SQRT(1+(1/18)+(B151/$D$21))</f>
        <v>0.077590623094548</v>
      </c>
      <c r="D151" s="0" t="n">
        <f aca="false">(0.00451*A151)-1.7651</f>
        <v>2.76745</v>
      </c>
      <c r="E151" s="0" t="n">
        <f aca="false">D151-($I$28*C151)</f>
        <v>2.60295787903956</v>
      </c>
      <c r="F151" s="0" t="n">
        <f aca="false">D151+($I$28*C151)</f>
        <v>2.93194212096044</v>
      </c>
    </row>
    <row r="152" customFormat="false" ht="15" hidden="false" customHeight="false" outlineLevel="0" collapsed="false">
      <c r="A152" s="0" t="n">
        <f aca="false">A151+5</f>
        <v>1010</v>
      </c>
      <c r="B152" s="0" t="n">
        <f aca="false">(A152-$B$21)^2</f>
        <v>57600</v>
      </c>
      <c r="C152" s="0" t="n">
        <f aca="false">$B$23*SQRT(1+(1/18)+(B152/$D$21))</f>
        <v>0.0775719822888366</v>
      </c>
      <c r="D152" s="0" t="n">
        <f aca="false">(0.00451*A152)-1.7651</f>
        <v>2.79</v>
      </c>
      <c r="E152" s="0" t="n">
        <f aca="false">D152-($I$28*C152)</f>
        <v>2.62554739754767</v>
      </c>
      <c r="F152" s="0" t="n">
        <f aca="false">D152+($I$28*C152)</f>
        <v>2.95445260245233</v>
      </c>
    </row>
    <row r="153" customFormat="false" ht="15" hidden="false" customHeight="false" outlineLevel="0" collapsed="false">
      <c r="A153" s="0" t="n">
        <f aca="false">A152+5</f>
        <v>1015</v>
      </c>
      <c r="B153" s="0" t="n">
        <f aca="false">(A153-$B$21)^2</f>
        <v>55225</v>
      </c>
      <c r="C153" s="0" t="n">
        <f aca="false">$B$23*SQRT(1+(1/18)+(B153/$D$21))</f>
        <v>0.0775537214867523</v>
      </c>
      <c r="D153" s="0" t="n">
        <f aca="false">(0.00451*A153)-1.7651</f>
        <v>2.81255</v>
      </c>
      <c r="E153" s="0" t="n">
        <f aca="false">D153-($I$28*C153)</f>
        <v>2.64813611044809</v>
      </c>
      <c r="F153" s="0" t="n">
        <f aca="false">D153+($I$28*C153)</f>
        <v>2.97696388955192</v>
      </c>
    </row>
    <row r="154" customFormat="false" ht="15" hidden="false" customHeight="false" outlineLevel="0" collapsed="false">
      <c r="A154" s="0" t="n">
        <f aca="false">A153+5</f>
        <v>1020</v>
      </c>
      <c r="B154" s="0" t="n">
        <f aca="false">(A154-$B$21)^2</f>
        <v>52900</v>
      </c>
      <c r="C154" s="0" t="n">
        <f aca="false">$B$23*SQRT(1+(1/18)+(B154/$D$21))</f>
        <v>0.0775358409567839</v>
      </c>
      <c r="D154" s="0" t="n">
        <f aca="false">(0.00451*A154)-1.7651</f>
        <v>2.8351</v>
      </c>
      <c r="E154" s="0" t="n">
        <f aca="false">D154-($I$28*C154)</f>
        <v>2.67072401717162</v>
      </c>
      <c r="F154" s="0" t="n">
        <f aca="false">D154+($I$28*C154)</f>
        <v>2.99947598282838</v>
      </c>
    </row>
    <row r="155" customFormat="false" ht="15" hidden="false" customHeight="false" outlineLevel="0" collapsed="false">
      <c r="A155" s="0" t="n">
        <f aca="false">A154+5</f>
        <v>1025</v>
      </c>
      <c r="B155" s="0" t="n">
        <f aca="false">(A155-$B$21)^2</f>
        <v>50625</v>
      </c>
      <c r="C155" s="0" t="n">
        <f aca="false">$B$23*SQRT(1+(1/18)+(B155/$D$21))</f>
        <v>0.0775183409620744</v>
      </c>
      <c r="D155" s="0" t="n">
        <f aca="false">(0.00451*A155)-1.7651</f>
        <v>2.85765</v>
      </c>
      <c r="E155" s="0" t="n">
        <f aca="false">D155-($I$28*C155)</f>
        <v>2.6933111171604</v>
      </c>
      <c r="F155" s="0" t="n">
        <f aca="false">D155+($I$28*C155)</f>
        <v>3.0219888828396</v>
      </c>
    </row>
    <row r="156" customFormat="false" ht="15" hidden="false" customHeight="false" outlineLevel="0" collapsed="false">
      <c r="A156" s="0" t="n">
        <f aca="false">A155+5</f>
        <v>1030</v>
      </c>
      <c r="B156" s="0" t="n">
        <f aca="false">(A156-$B$21)^2</f>
        <v>48400</v>
      </c>
      <c r="C156" s="0" t="n">
        <f aca="false">$B$23*SQRT(1+(1/18)+(B156/$D$21))</f>
        <v>0.0775012217604016</v>
      </c>
      <c r="D156" s="0" t="n">
        <f aca="false">(0.00451*A156)-1.7651</f>
        <v>2.8802</v>
      </c>
      <c r="E156" s="0" t="n">
        <f aca="false">D156-($I$28*C156)</f>
        <v>2.71589740986795</v>
      </c>
      <c r="F156" s="0" t="n">
        <f aca="false">D156+($I$28*C156)</f>
        <v>3.04450259013205</v>
      </c>
    </row>
    <row r="157" customFormat="false" ht="15" hidden="false" customHeight="false" outlineLevel="0" collapsed="false">
      <c r="A157" s="0" t="n">
        <f aca="false">A156+5</f>
        <v>1035</v>
      </c>
      <c r="B157" s="0" t="n">
        <f aca="false">(A157-$B$21)^2</f>
        <v>46225</v>
      </c>
      <c r="C157" s="0" t="n">
        <f aca="false">$B$23*SQRT(1+(1/18)+(B157/$D$21))</f>
        <v>0.0774844836041595</v>
      </c>
      <c r="D157" s="0" t="n">
        <f aca="false">(0.00451*A157)-1.7651</f>
        <v>2.90275</v>
      </c>
      <c r="E157" s="0" t="n">
        <f aca="false">D157-($I$28*C157)</f>
        <v>2.73848289475918</v>
      </c>
      <c r="F157" s="0" t="n">
        <f aca="false">D157+($I$28*C157)</f>
        <v>3.06701710524082</v>
      </c>
    </row>
    <row r="158" customFormat="false" ht="15" hidden="false" customHeight="false" outlineLevel="0" collapsed="false">
      <c r="A158" s="0" t="n">
        <f aca="false">A157+5</f>
        <v>1040</v>
      </c>
      <c r="B158" s="0" t="n">
        <f aca="false">(A158-$B$21)^2</f>
        <v>44100</v>
      </c>
      <c r="C158" s="0" t="n">
        <f aca="false">$B$23*SQRT(1+(1/18)+(B158/$D$21))</f>
        <v>0.0774681267403398</v>
      </c>
      <c r="D158" s="0" t="n">
        <f aca="false">(0.00451*A158)-1.7651</f>
        <v>2.9253</v>
      </c>
      <c r="E158" s="0" t="n">
        <f aca="false">D158-($I$28*C158)</f>
        <v>2.76106757131048</v>
      </c>
      <c r="F158" s="0" t="n">
        <f aca="false">D158+($I$28*C158)</f>
        <v>3.08953242868952</v>
      </c>
    </row>
    <row r="159" customFormat="false" ht="15" hidden="false" customHeight="false" outlineLevel="0" collapsed="false">
      <c r="A159" s="0" t="n">
        <f aca="false">A158+5</f>
        <v>1045</v>
      </c>
      <c r="B159" s="0" t="n">
        <f aca="false">(A159-$B$21)^2</f>
        <v>42025</v>
      </c>
      <c r="C159" s="0" t="n">
        <f aca="false">$B$23*SQRT(1+(1/18)+(B159/$D$21))</f>
        <v>0.0774521514105143</v>
      </c>
      <c r="D159" s="0" t="n">
        <f aca="false">(0.00451*A159)-1.7651</f>
        <v>2.94785</v>
      </c>
      <c r="E159" s="0" t="n">
        <f aca="false">D159-($I$28*C159)</f>
        <v>2.78365143900971</v>
      </c>
      <c r="F159" s="0" t="n">
        <f aca="false">D159+($I$28*C159)</f>
        <v>3.11204856099029</v>
      </c>
    </row>
    <row r="160" customFormat="false" ht="15" hidden="false" customHeight="false" outlineLevel="0" collapsed="false">
      <c r="A160" s="0" t="n">
        <f aca="false">A159+5</f>
        <v>1050</v>
      </c>
      <c r="B160" s="0" t="n">
        <f aca="false">(A160-$B$21)^2</f>
        <v>40000</v>
      </c>
      <c r="C160" s="0" t="n">
        <f aca="false">$B$23*SQRT(1+(1/18)+(B160/$D$21))</f>
        <v>0.0774365578508168</v>
      </c>
      <c r="D160" s="0" t="n">
        <f aca="false">(0.00451*A160)-1.7651</f>
        <v>2.9704</v>
      </c>
      <c r="E160" s="0" t="n">
        <f aca="false">D160-($I$28*C160)</f>
        <v>2.80623449735627</v>
      </c>
      <c r="F160" s="0" t="n">
        <f aca="false">D160+($I$28*C160)</f>
        <v>3.13456550264373</v>
      </c>
    </row>
    <row r="161" customFormat="false" ht="15" hidden="false" customHeight="false" outlineLevel="0" collapsed="false">
      <c r="A161" s="0" t="n">
        <f aca="false">A160+5</f>
        <v>1055</v>
      </c>
      <c r="B161" s="0" t="n">
        <f aca="false">(A161-$B$21)^2</f>
        <v>38025</v>
      </c>
      <c r="C161" s="0" t="n">
        <f aca="false">$B$23*SQRT(1+(1/18)+(B161/$D$21))</f>
        <v>0.0774213462919262</v>
      </c>
      <c r="D161" s="0" t="n">
        <f aca="false">(0.00451*A161)-1.7651</f>
        <v>2.99295</v>
      </c>
      <c r="E161" s="0" t="n">
        <f aca="false">D161-($I$28*C161)</f>
        <v>2.82881674586112</v>
      </c>
      <c r="F161" s="0" t="n">
        <f aca="false">D161+($I$28*C161)</f>
        <v>3.15708325413888</v>
      </c>
    </row>
    <row r="162" customFormat="false" ht="15" hidden="false" customHeight="false" outlineLevel="0" collapsed="false">
      <c r="A162" s="0" t="n">
        <f aca="false">A161+5</f>
        <v>1060</v>
      </c>
      <c r="B162" s="0" t="n">
        <f aca="false">(A162-$B$21)^2</f>
        <v>36100</v>
      </c>
      <c r="C162" s="0" t="n">
        <f aca="false">$B$23*SQRT(1+(1/18)+(B162/$D$21))</f>
        <v>0.0774065169590494</v>
      </c>
      <c r="D162" s="0" t="n">
        <f aca="false">(0.00451*A162)-1.7651</f>
        <v>3.0155</v>
      </c>
      <c r="E162" s="0" t="n">
        <f aca="false">D162-($I$28*C162)</f>
        <v>2.85139818404682</v>
      </c>
      <c r="F162" s="0" t="n">
        <f aca="false">D162+($I$28*C162)</f>
        <v>3.17960181595318</v>
      </c>
    </row>
    <row r="163" customFormat="false" ht="15" hidden="false" customHeight="false" outlineLevel="0" collapsed="false">
      <c r="A163" s="0" t="n">
        <f aca="false">A162+5</f>
        <v>1065</v>
      </c>
      <c r="B163" s="0" t="n">
        <f aca="false">(A163-$B$21)^2</f>
        <v>34225</v>
      </c>
      <c r="C163" s="0" t="n">
        <f aca="false">$B$23*SQRT(1+(1/18)+(B163/$D$21))</f>
        <v>0.0773920700719048</v>
      </c>
      <c r="D163" s="0" t="n">
        <f aca="false">(0.00451*A163)-1.7651</f>
        <v>3.03805</v>
      </c>
      <c r="E163" s="0" t="n">
        <f aca="false">D163-($I$28*C163)</f>
        <v>2.87397881144756</v>
      </c>
      <c r="F163" s="0" t="n">
        <f aca="false">D163+($I$28*C163)</f>
        <v>3.20212118855244</v>
      </c>
    </row>
    <row r="164" customFormat="false" ht="15" hidden="false" customHeight="false" outlineLevel="0" collapsed="false">
      <c r="A164" s="0" t="n">
        <f aca="false">A163+5</f>
        <v>1070</v>
      </c>
      <c r="B164" s="0" t="n">
        <f aca="false">(A164-$B$21)^2</f>
        <v>32400</v>
      </c>
      <c r="C164" s="0" t="n">
        <f aca="false">$B$23*SQRT(1+(1/18)+(B164/$D$21))</f>
        <v>0.0773780058447065</v>
      </c>
      <c r="D164" s="0" t="n">
        <f aca="false">(0.00451*A164)-1.7651</f>
        <v>3.0606</v>
      </c>
      <c r="E164" s="0" t="n">
        <f aca="false">D164-($I$28*C164)</f>
        <v>2.89655862760922</v>
      </c>
      <c r="F164" s="0" t="n">
        <f aca="false">D164+($I$28*C164)</f>
        <v>3.22464137239078</v>
      </c>
    </row>
    <row r="165" customFormat="false" ht="15" hidden="false" customHeight="false" outlineLevel="0" collapsed="false">
      <c r="A165" s="0" t="n">
        <f aca="false">A164+5</f>
        <v>1075</v>
      </c>
      <c r="B165" s="0" t="n">
        <f aca="false">(A165-$B$21)^2</f>
        <v>30625</v>
      </c>
      <c r="C165" s="0" t="n">
        <f aca="false">$B$23*SQRT(1+(1/18)+(B165/$D$21))</f>
        <v>0.0773643244861482</v>
      </c>
      <c r="D165" s="0" t="n">
        <f aca="false">(0.00451*A165)-1.7651</f>
        <v>3.08315</v>
      </c>
      <c r="E165" s="0" t="n">
        <f aca="false">D165-($I$28*C165)</f>
        <v>2.91913763208937</v>
      </c>
      <c r="F165" s="0" t="n">
        <f aca="false">D165+($I$28*C165)</f>
        <v>3.24716236791063</v>
      </c>
    </row>
    <row r="166" customFormat="false" ht="15" hidden="false" customHeight="false" outlineLevel="0" collapsed="false">
      <c r="A166" s="0" t="n">
        <f aca="false">A165+5</f>
        <v>1080</v>
      </c>
      <c r="B166" s="0" t="n">
        <f aca="false">(A166-$B$21)^2</f>
        <v>28900</v>
      </c>
      <c r="C166" s="0" t="n">
        <f aca="false">$B$23*SQRT(1+(1/18)+(B166/$D$21))</f>
        <v>0.077351026199388</v>
      </c>
      <c r="D166" s="0" t="n">
        <f aca="false">(0.00451*A166)-1.7651</f>
        <v>3.1057</v>
      </c>
      <c r="E166" s="0" t="n">
        <f aca="false">D166-($I$28*C166)</f>
        <v>2.9417158244573</v>
      </c>
      <c r="F166" s="0" t="n">
        <f aca="false">D166+($I$28*C166)</f>
        <v>3.2696841755427</v>
      </c>
    </row>
    <row r="167" customFormat="false" ht="15" hidden="false" customHeight="false" outlineLevel="0" collapsed="false">
      <c r="A167" s="0" t="n">
        <f aca="false">A166+5</f>
        <v>1085</v>
      </c>
      <c r="B167" s="0" t="n">
        <f aca="false">(A167-$B$21)^2</f>
        <v>27225</v>
      </c>
      <c r="C167" s="0" t="n">
        <f aca="false">$B$23*SQRT(1+(1/18)+(B167/$D$21))</f>
        <v>0.0773381111820335</v>
      </c>
      <c r="D167" s="0" t="n">
        <f aca="false">(0.00451*A167)-1.7651</f>
        <v>3.12825</v>
      </c>
      <c r="E167" s="0" t="n">
        <f aca="false">D167-($I$28*C167)</f>
        <v>2.96429320429409</v>
      </c>
      <c r="F167" s="0" t="n">
        <f aca="false">D167+($I$28*C167)</f>
        <v>3.29220679570591</v>
      </c>
    </row>
    <row r="168" customFormat="false" ht="15" hidden="false" customHeight="false" outlineLevel="0" collapsed="false">
      <c r="A168" s="0" t="n">
        <f aca="false">A167+5</f>
        <v>1090</v>
      </c>
      <c r="B168" s="0" t="n">
        <f aca="false">(A168-$B$21)^2</f>
        <v>25600</v>
      </c>
      <c r="C168" s="0" t="n">
        <f aca="false">$B$23*SQRT(1+(1/18)+(B168/$D$21))</f>
        <v>0.0773255796261272</v>
      </c>
      <c r="D168" s="0" t="n">
        <f aca="false">(0.00451*A168)-1.7651</f>
        <v>3.1508</v>
      </c>
      <c r="E168" s="0" t="n">
        <f aca="false">D168-($I$28*C168)</f>
        <v>2.98686977119261</v>
      </c>
      <c r="F168" s="0" t="n">
        <f aca="false">D168+($I$28*C168)</f>
        <v>3.31473022880739</v>
      </c>
    </row>
    <row r="169" customFormat="false" ht="15" hidden="false" customHeight="false" outlineLevel="0" collapsed="false">
      <c r="A169" s="0" t="n">
        <f aca="false">A168+5</f>
        <v>1095</v>
      </c>
      <c r="B169" s="0" t="n">
        <f aca="false">(A169-$B$21)^2</f>
        <v>24025</v>
      </c>
      <c r="C169" s="0" t="n">
        <f aca="false">$B$23*SQRT(1+(1/18)+(B169/$D$21))</f>
        <v>0.0773134317181321</v>
      </c>
      <c r="D169" s="0" t="n">
        <f aca="false">(0.00451*A169)-1.7651</f>
        <v>3.17335</v>
      </c>
      <c r="E169" s="0" t="n">
        <f aca="false">D169-($I$28*C169)</f>
        <v>3.00944552475756</v>
      </c>
      <c r="F169" s="0" t="n">
        <f aca="false">D169+($I$28*C169)</f>
        <v>3.33725447524244</v>
      </c>
    </row>
    <row r="170" customFormat="false" ht="15" hidden="false" customHeight="false" outlineLevel="0" collapsed="false">
      <c r="A170" s="0" t="n">
        <f aca="false">A169+5</f>
        <v>1100</v>
      </c>
      <c r="B170" s="0" t="n">
        <f aca="false">(A170-$B$21)^2</f>
        <v>22500</v>
      </c>
      <c r="C170" s="0" t="n">
        <f aca="false">$B$23*SQRT(1+(1/18)+(B170/$D$21))</f>
        <v>0.0773016676389184</v>
      </c>
      <c r="D170" s="0" t="n">
        <f aca="false">(0.00451*A170)-1.7651</f>
        <v>3.1959</v>
      </c>
      <c r="E170" s="0" t="n">
        <f aca="false">D170-($I$28*C170)</f>
        <v>3.03202046460549</v>
      </c>
      <c r="F170" s="0" t="n">
        <f aca="false">D170+($I$28*C170)</f>
        <v>3.35977953539451</v>
      </c>
    </row>
    <row r="171" customFormat="false" ht="15" hidden="false" customHeight="false" outlineLevel="0" collapsed="false">
      <c r="A171" s="0" t="n">
        <f aca="false">A170+5</f>
        <v>1105</v>
      </c>
      <c r="B171" s="0" t="n">
        <f aca="false">(A171-$B$21)^2</f>
        <v>21025</v>
      </c>
      <c r="C171" s="0" t="n">
        <f aca="false">$B$23*SQRT(1+(1/18)+(B171/$D$21))</f>
        <v>0.0772902875637497</v>
      </c>
      <c r="D171" s="0" t="n">
        <f aca="false">(0.00451*A171)-1.7651</f>
        <v>3.21845</v>
      </c>
      <c r="E171" s="0" t="n">
        <f aca="false">D171-($I$28*C171)</f>
        <v>3.05459459036485</v>
      </c>
      <c r="F171" s="0" t="n">
        <f aca="false">D171+($I$28*C171)</f>
        <v>3.38230540963515</v>
      </c>
    </row>
    <row r="172" customFormat="false" ht="15" hidden="false" customHeight="false" outlineLevel="0" collapsed="false">
      <c r="A172" s="0" t="n">
        <f aca="false">A171+5</f>
        <v>1110</v>
      </c>
      <c r="B172" s="0" t="n">
        <f aca="false">(A172-$B$21)^2</f>
        <v>19600</v>
      </c>
      <c r="C172" s="0" t="n">
        <f aca="false">$B$23*SQRT(1+(1/18)+(B172/$D$21))</f>
        <v>0.0772792916622701</v>
      </c>
      <c r="D172" s="0" t="n">
        <f aca="false">(0.00451*A172)-1.7651</f>
        <v>3.241</v>
      </c>
      <c r="E172" s="0" t="n">
        <f aca="false">D172-($I$28*C172)</f>
        <v>3.07716790167599</v>
      </c>
      <c r="F172" s="0" t="n">
        <f aca="false">D172+($I$28*C172)</f>
        <v>3.40483209832401</v>
      </c>
    </row>
    <row r="173" customFormat="false" ht="15" hidden="false" customHeight="false" outlineLevel="0" collapsed="false">
      <c r="A173" s="0" t="n">
        <f aca="false">A172+5</f>
        <v>1115</v>
      </c>
      <c r="B173" s="0" t="n">
        <f aca="false">(A173-$B$21)^2</f>
        <v>18225</v>
      </c>
      <c r="C173" s="0" t="n">
        <f aca="false">$B$23*SQRT(1+(1/18)+(B173/$D$21))</f>
        <v>0.077268680098492</v>
      </c>
      <c r="D173" s="0" t="n">
        <f aca="false">(0.00451*A173)-1.7651</f>
        <v>3.26355</v>
      </c>
      <c r="E173" s="0" t="n">
        <f aca="false">D173-($I$28*C173)</f>
        <v>3.0997403981912</v>
      </c>
      <c r="F173" s="0" t="n">
        <f aca="false">D173+($I$28*C173)</f>
        <v>3.4273596018088</v>
      </c>
    </row>
    <row r="174" customFormat="false" ht="15" hidden="false" customHeight="false" outlineLevel="0" collapsed="false">
      <c r="A174" s="0" t="n">
        <f aca="false">A173+5</f>
        <v>1120</v>
      </c>
      <c r="B174" s="0" t="n">
        <f aca="false">(A174-$B$21)^2</f>
        <v>16900</v>
      </c>
      <c r="C174" s="0" t="n">
        <f aca="false">$B$23*SQRT(1+(1/18)+(B174/$D$21))</f>
        <v>0.0772584530307834</v>
      </c>
      <c r="D174" s="0" t="n">
        <f aca="false">(0.00451*A174)-1.7651</f>
        <v>3.2861</v>
      </c>
      <c r="E174" s="0" t="n">
        <f aca="false">D174-($I$28*C174)</f>
        <v>3.12231207957474</v>
      </c>
      <c r="F174" s="0" t="n">
        <f aca="false">D174+($I$28*C174)</f>
        <v>3.44988792042526</v>
      </c>
    </row>
    <row r="175" customFormat="false" ht="15" hidden="false" customHeight="false" outlineLevel="0" collapsed="false">
      <c r="A175" s="0" t="n">
        <f aca="false">A174+5</f>
        <v>1125</v>
      </c>
      <c r="B175" s="0" t="n">
        <f aca="false">(A175-$B$21)^2</f>
        <v>15625</v>
      </c>
      <c r="C175" s="0" t="n">
        <f aca="false">$B$23*SQRT(1+(1/18)+(B175/$D$21))</f>
        <v>0.0772486106118565</v>
      </c>
      <c r="D175" s="0" t="n">
        <f aca="false">(0.00451*A175)-1.7651</f>
        <v>3.30865</v>
      </c>
      <c r="E175" s="0" t="n">
        <f aca="false">D175-($I$28*C175)</f>
        <v>3.14488294550287</v>
      </c>
      <c r="F175" s="0" t="n">
        <f aca="false">D175+($I$28*C175)</f>
        <v>3.47241705449714</v>
      </c>
    </row>
    <row r="176" customFormat="false" ht="15" hidden="false" customHeight="false" outlineLevel="0" collapsed="false">
      <c r="A176" s="0" t="n">
        <f aca="false">A175+5</f>
        <v>1130</v>
      </c>
      <c r="B176" s="0" t="n">
        <f aca="false">(A176-$B$21)^2</f>
        <v>14400</v>
      </c>
      <c r="C176" s="0" t="n">
        <f aca="false">$B$23*SQRT(1+(1/18)+(B176/$D$21))</f>
        <v>0.0772391529887561</v>
      </c>
      <c r="D176" s="0" t="n">
        <f aca="false">(0.00451*A176)-1.7651</f>
        <v>3.3312</v>
      </c>
      <c r="E176" s="0" t="n">
        <f aca="false">D176-($I$28*C176)</f>
        <v>3.16745299566384</v>
      </c>
      <c r="F176" s="0" t="n">
        <f aca="false">D176+($I$28*C176)</f>
        <v>3.49494700433616</v>
      </c>
    </row>
    <row r="177" customFormat="false" ht="15" hidden="false" customHeight="false" outlineLevel="0" collapsed="false">
      <c r="A177" s="0" t="n">
        <f aca="false">A176+5</f>
        <v>1135</v>
      </c>
      <c r="B177" s="0" t="n">
        <f aca="false">(A177-$B$21)^2</f>
        <v>13225</v>
      </c>
      <c r="C177" s="0" t="n">
        <f aca="false">$B$23*SQRT(1+(1/18)+(B177/$D$21))</f>
        <v>0.077230080302849</v>
      </c>
      <c r="D177" s="0" t="n">
        <f aca="false">(0.00451*A177)-1.7651</f>
        <v>3.35375</v>
      </c>
      <c r="E177" s="0" t="n">
        <f aca="false">D177-($I$28*C177)</f>
        <v>3.19002222975796</v>
      </c>
      <c r="F177" s="0" t="n">
        <f aca="false">D177+($I$28*C177)</f>
        <v>3.51747777024204</v>
      </c>
    </row>
    <row r="178" customFormat="false" ht="15" hidden="false" customHeight="false" outlineLevel="0" collapsed="false">
      <c r="A178" s="0" t="n">
        <f aca="false">A177+5</f>
        <v>1140</v>
      </c>
      <c r="B178" s="0" t="n">
        <f aca="false">(A178-$B$21)^2</f>
        <v>12100</v>
      </c>
      <c r="C178" s="0" t="n">
        <f aca="false">$B$23*SQRT(1+(1/18)+(B178/$D$21))</f>
        <v>0.077221392689813</v>
      </c>
      <c r="D178" s="0" t="n">
        <f aca="false">(0.00451*A178)-1.7651</f>
        <v>3.3763</v>
      </c>
      <c r="E178" s="0" t="n">
        <f aca="false">D178-($I$28*C178)</f>
        <v>3.2125906474976</v>
      </c>
      <c r="F178" s="0" t="n">
        <f aca="false">D178+($I$28*C178)</f>
        <v>3.5400093525024</v>
      </c>
    </row>
    <row r="179" customFormat="false" ht="15" hidden="false" customHeight="false" outlineLevel="0" collapsed="false">
      <c r="A179" s="0" t="n">
        <f aca="false">A178+5</f>
        <v>1145</v>
      </c>
      <c r="B179" s="0" t="n">
        <f aca="false">(A179-$B$21)^2</f>
        <v>11025</v>
      </c>
      <c r="C179" s="0" t="n">
        <f aca="false">$B$23*SQRT(1+(1/18)+(B179/$D$21))</f>
        <v>0.0772130902796275</v>
      </c>
      <c r="D179" s="0" t="n">
        <f aca="false">(0.00451*A179)-1.7651</f>
        <v>3.39885</v>
      </c>
      <c r="E179" s="0" t="n">
        <f aca="false">D179-($I$28*C179)</f>
        <v>3.23515824860719</v>
      </c>
      <c r="F179" s="0" t="n">
        <f aca="false">D179+($I$28*C179)</f>
        <v>3.56254175139281</v>
      </c>
    </row>
    <row r="180" customFormat="false" ht="15" hidden="false" customHeight="false" outlineLevel="0" collapsed="false">
      <c r="A180" s="0" t="n">
        <f aca="false">A179+5</f>
        <v>1150</v>
      </c>
      <c r="B180" s="0" t="n">
        <f aca="false">(A180-$B$21)^2</f>
        <v>10000</v>
      </c>
      <c r="C180" s="0" t="n">
        <f aca="false">$B$23*SQRT(1+(1/18)+(B180/$D$21))</f>
        <v>0.0772051731965631</v>
      </c>
      <c r="D180" s="0" t="n">
        <f aca="false">(0.00451*A180)-1.7651</f>
        <v>3.4214</v>
      </c>
      <c r="E180" s="0" t="n">
        <f aca="false">D180-($I$28*C180)</f>
        <v>3.25772503282329</v>
      </c>
      <c r="F180" s="0" t="n">
        <f aca="false">D180+($I$28*C180)</f>
        <v>3.58507496717671</v>
      </c>
    </row>
    <row r="181" customFormat="false" ht="15" hidden="false" customHeight="false" outlineLevel="0" collapsed="false">
      <c r="A181" s="0" t="n">
        <f aca="false">A180+5</f>
        <v>1155</v>
      </c>
      <c r="B181" s="0" t="n">
        <f aca="false">(A181-$B$21)^2</f>
        <v>9025</v>
      </c>
      <c r="C181" s="0" t="n">
        <f aca="false">$B$23*SQRT(1+(1/18)+(B181/$D$21))</f>
        <v>0.0771976415591725</v>
      </c>
      <c r="D181" s="0" t="n">
        <f aca="false">(0.00451*A181)-1.7651</f>
        <v>3.44395</v>
      </c>
      <c r="E181" s="0" t="n">
        <f aca="false">D181-($I$28*C181)</f>
        <v>3.28029099989456</v>
      </c>
      <c r="F181" s="0" t="n">
        <f aca="false">D181+($I$28*C181)</f>
        <v>3.60760900010545</v>
      </c>
    </row>
    <row r="182" customFormat="false" ht="15" hidden="false" customHeight="false" outlineLevel="0" collapsed="false">
      <c r="A182" s="0" t="n">
        <f aca="false">A181+5</f>
        <v>1160</v>
      </c>
      <c r="B182" s="0" t="n">
        <f aca="false">(A182-$B$21)^2</f>
        <v>8100</v>
      </c>
      <c r="C182" s="0" t="n">
        <f aca="false">$B$23*SQRT(1+(1/18)+(B182/$D$21))</f>
        <v>0.077190495480282</v>
      </c>
      <c r="D182" s="0" t="n">
        <f aca="false">(0.00451*A182)-1.7651</f>
        <v>3.4665</v>
      </c>
      <c r="E182" s="0" t="n">
        <f aca="false">D182-($I$28*C182)</f>
        <v>3.3028561495818</v>
      </c>
      <c r="F182" s="0" t="n">
        <f aca="false">D182+($I$28*C182)</f>
        <v>3.6301438504182</v>
      </c>
    </row>
    <row r="183" customFormat="false" ht="15" hidden="false" customHeight="false" outlineLevel="0" collapsed="false">
      <c r="A183" s="0" t="n">
        <f aca="false">A182+5</f>
        <v>1165</v>
      </c>
      <c r="B183" s="0" t="n">
        <f aca="false">(A183-$B$21)^2</f>
        <v>7225</v>
      </c>
      <c r="C183" s="0" t="n">
        <f aca="false">$B$23*SQRT(1+(1/18)+(B183/$D$21))</f>
        <v>0.0771837350669827</v>
      </c>
      <c r="D183" s="0" t="n">
        <f aca="false">(0.00451*A183)-1.7651</f>
        <v>3.48905</v>
      </c>
      <c r="E183" s="0" t="n">
        <f aca="false">D183-($I$28*C183)</f>
        <v>3.325420481658</v>
      </c>
      <c r="F183" s="0" t="n">
        <f aca="false">D183+($I$28*C183)</f>
        <v>3.652679518342</v>
      </c>
    </row>
    <row r="184" customFormat="false" ht="15" hidden="false" customHeight="false" outlineLevel="0" collapsed="false">
      <c r="A184" s="0" t="n">
        <f aca="false">A183+5</f>
        <v>1170</v>
      </c>
      <c r="B184" s="0" t="n">
        <f aca="false">(A184-$B$21)^2</f>
        <v>6400</v>
      </c>
      <c r="C184" s="0" t="n">
        <f aca="false">$B$23*SQRT(1+(1/18)+(B184/$D$21))</f>
        <v>0.0771773604206228</v>
      </c>
      <c r="D184" s="0" t="n">
        <f aca="false">(0.00451*A184)-1.7651</f>
        <v>3.5116</v>
      </c>
      <c r="E184" s="0" t="n">
        <f aca="false">D184-($I$28*C184)</f>
        <v>3.34798399590828</v>
      </c>
      <c r="F184" s="0" t="n">
        <f aca="false">D184+($I$28*C184)</f>
        <v>3.67521600409172</v>
      </c>
    </row>
    <row r="185" customFormat="false" ht="15" hidden="false" customHeight="false" outlineLevel="0" collapsed="false">
      <c r="A185" s="0" t="n">
        <f aca="false">A184+5</f>
        <v>1175</v>
      </c>
      <c r="B185" s="0" t="n">
        <f aca="false">(A185-$B$21)^2</f>
        <v>5625</v>
      </c>
      <c r="C185" s="0" t="n">
        <f aca="false">$B$23*SQRT(1+(1/18)+(B185/$D$21))</f>
        <v>0.0771713716367995</v>
      </c>
      <c r="D185" s="0" t="n">
        <f aca="false">(0.00451*A185)-1.7651</f>
        <v>3.53415</v>
      </c>
      <c r="E185" s="0" t="n">
        <f aca="false">D185-($I$28*C185)</f>
        <v>3.37054669212999</v>
      </c>
      <c r="F185" s="0" t="n">
        <f aca="false">D185+($I$28*C185)</f>
        <v>3.69775330787002</v>
      </c>
    </row>
    <row r="186" customFormat="false" ht="15" hidden="false" customHeight="false" outlineLevel="0" collapsed="false">
      <c r="A186" s="0" t="n">
        <f aca="false">A185+5</f>
        <v>1180</v>
      </c>
      <c r="B186" s="0" t="n">
        <f aca="false">(A186-$B$21)^2</f>
        <v>4900</v>
      </c>
      <c r="C186" s="0" t="n">
        <f aca="false">$B$23*SQRT(1+(1/18)+(B186/$D$21))</f>
        <v>0.0771657688053526</v>
      </c>
      <c r="D186" s="0" t="n">
        <f aca="false">(0.00451*A186)-1.7651</f>
        <v>3.5567</v>
      </c>
      <c r="E186" s="0" t="n">
        <f aca="false">D186-($I$28*C186)</f>
        <v>3.39310857013265</v>
      </c>
      <c r="F186" s="0" t="n">
        <f aca="false">D186+($I$28*C186)</f>
        <v>3.72029142986735</v>
      </c>
    </row>
    <row r="187" customFormat="false" ht="15" hidden="false" customHeight="false" outlineLevel="0" collapsed="false">
      <c r="A187" s="0" t="n">
        <f aca="false">A186+5</f>
        <v>1185</v>
      </c>
      <c r="B187" s="0" t="n">
        <f aca="false">(A187-$B$21)^2</f>
        <v>4225</v>
      </c>
      <c r="C187" s="0" t="n">
        <f aca="false">$B$23*SQRT(1+(1/18)+(B187/$D$21))</f>
        <v>0.077160552010357</v>
      </c>
      <c r="D187" s="0" t="n">
        <f aca="false">(0.00451*A187)-1.7651</f>
        <v>3.57925</v>
      </c>
      <c r="E187" s="0" t="n">
        <f aca="false">D187-($I$28*C187)</f>
        <v>3.41566962973804</v>
      </c>
      <c r="F187" s="0" t="n">
        <f aca="false">D187+($I$28*C187)</f>
        <v>3.74283037026196</v>
      </c>
    </row>
    <row r="188" customFormat="false" ht="15" hidden="false" customHeight="false" outlineLevel="0" collapsed="false">
      <c r="A188" s="0" t="n">
        <f aca="false">A187+5</f>
        <v>1190</v>
      </c>
      <c r="B188" s="0" t="n">
        <f aca="false">(A188-$B$21)^2</f>
        <v>3600</v>
      </c>
      <c r="C188" s="0" t="n">
        <f aca="false">$B$23*SQRT(1+(1/18)+(B188/$D$21))</f>
        <v>0.0771557213301171</v>
      </c>
      <c r="D188" s="0" t="n">
        <f aca="false">(0.00451*A188)-1.7651</f>
        <v>3.6018</v>
      </c>
      <c r="E188" s="0" t="n">
        <f aca="false">D188-($I$28*C188)</f>
        <v>3.43822987078015</v>
      </c>
      <c r="F188" s="0" t="n">
        <f aca="false">D188+($I$28*C188)</f>
        <v>3.76537012921985</v>
      </c>
    </row>
    <row r="189" customFormat="false" ht="15" hidden="false" customHeight="false" outlineLevel="0" collapsed="false">
      <c r="A189" s="0" t="n">
        <f aca="false">A188+5</f>
        <v>1195</v>
      </c>
      <c r="B189" s="0" t="n">
        <f aca="false">(A189-$B$21)^2</f>
        <v>3025</v>
      </c>
      <c r="C189" s="0" t="n">
        <f aca="false">$B$23*SQRT(1+(1/18)+(B189/$D$21))</f>
        <v>0.0771512768371603</v>
      </c>
      <c r="D189" s="0" t="n">
        <f aca="false">(0.00451*A189)-1.7651</f>
        <v>3.62435</v>
      </c>
      <c r="E189" s="0" t="n">
        <f aca="false">D189-($I$28*C189)</f>
        <v>3.46078929310522</v>
      </c>
      <c r="F189" s="0" t="n">
        <f aca="false">D189+($I$28*C189)</f>
        <v>3.78791070689478</v>
      </c>
    </row>
    <row r="190" customFormat="false" ht="15" hidden="false" customHeight="false" outlineLevel="0" collapsed="false">
      <c r="A190" s="0" t="n">
        <f aca="false">A189+5</f>
        <v>1200</v>
      </c>
      <c r="B190" s="0" t="n">
        <f aca="false">(A190-$B$21)^2</f>
        <v>2500</v>
      </c>
      <c r="C190" s="0" t="n">
        <f aca="false">$B$23*SQRT(1+(1/18)+(B190/$D$21))</f>
        <v>0.077147218598232</v>
      </c>
      <c r="D190" s="0" t="n">
        <f aca="false">(0.00451*A190)-1.7651</f>
        <v>3.6469</v>
      </c>
      <c r="E190" s="0" t="n">
        <f aca="false">D190-($I$28*C190)</f>
        <v>3.48334789657175</v>
      </c>
      <c r="F190" s="0" t="n">
        <f aca="false">D190+($I$28*C190)</f>
        <v>3.81045210342825</v>
      </c>
    </row>
    <row r="191" customFormat="false" ht="15" hidden="false" customHeight="false" outlineLevel="0" collapsed="false">
      <c r="A191" s="0" t="n">
        <f aca="false">A190+5</f>
        <v>1205</v>
      </c>
      <c r="B191" s="0" t="n">
        <f aca="false">(A191-$B$21)^2</f>
        <v>2025</v>
      </c>
      <c r="C191" s="0" t="n">
        <f aca="false">$B$23*SQRT(1+(1/18)+(B191/$D$21))</f>
        <v>0.0771435466742905</v>
      </c>
      <c r="D191" s="0" t="n">
        <f aca="false">(0.00451*A191)-1.7651</f>
        <v>3.66945</v>
      </c>
      <c r="E191" s="0" t="n">
        <f aca="false">D191-($I$28*C191)</f>
        <v>3.5059056810505</v>
      </c>
      <c r="F191" s="0" t="n">
        <f aca="false">D191+($I$28*C191)</f>
        <v>3.8329943189495</v>
      </c>
    </row>
    <row r="192" customFormat="false" ht="15" hidden="false" customHeight="false" outlineLevel="0" collapsed="false">
      <c r="A192" s="0" t="n">
        <f aca="false">A191+5</f>
        <v>1210</v>
      </c>
      <c r="B192" s="0" t="n">
        <f aca="false">(A192-$B$21)^2</f>
        <v>1600</v>
      </c>
      <c r="C192" s="0" t="n">
        <f aca="false">$B$23*SQRT(1+(1/18)+(B192/$D$21))</f>
        <v>0.0771402611205021</v>
      </c>
      <c r="D192" s="0" t="n">
        <f aca="false">(0.00451*A192)-1.7651</f>
        <v>3.692</v>
      </c>
      <c r="E192" s="0" t="n">
        <f aca="false">D192-($I$28*C192)</f>
        <v>3.52846264642454</v>
      </c>
      <c r="F192" s="0" t="n">
        <f aca="false">D192+($I$28*C192)</f>
        <v>3.85553735357547</v>
      </c>
    </row>
    <row r="193" customFormat="false" ht="15" hidden="false" customHeight="false" outlineLevel="0" collapsed="false">
      <c r="A193" s="0" t="n">
        <f aca="false">A192+5</f>
        <v>1215</v>
      </c>
      <c r="B193" s="0" t="n">
        <f aca="false">(A193-$B$21)^2</f>
        <v>1225</v>
      </c>
      <c r="C193" s="0" t="n">
        <f aca="false">$B$23*SQRT(1+(1/18)+(B193/$D$21))</f>
        <v>0.0771373619862376</v>
      </c>
      <c r="D193" s="0" t="n">
        <f aca="false">(0.00451*A193)-1.7651</f>
        <v>3.71455</v>
      </c>
      <c r="E193" s="0" t="n">
        <f aca="false">D193-($I$28*C193)</f>
        <v>3.55101879258918</v>
      </c>
      <c r="F193" s="0" t="n">
        <f aca="false">D193+($I$28*C193)</f>
        <v>3.87808120741082</v>
      </c>
    </row>
    <row r="194" customFormat="false" ht="15" hidden="false" customHeight="false" outlineLevel="0" collapsed="false">
      <c r="A194" s="0" t="n">
        <f aca="false">A193+5</f>
        <v>1220</v>
      </c>
      <c r="B194" s="0" t="n">
        <f aca="false">(A194-$B$21)^2</f>
        <v>900</v>
      </c>
      <c r="C194" s="0" t="n">
        <f aca="false">$B$23*SQRT(1+(1/18)+(B194/$D$21))</f>
        <v>0.077134849315068</v>
      </c>
      <c r="D194" s="0" t="n">
        <f aca="false">(0.00451*A194)-1.7651</f>
        <v>3.7371</v>
      </c>
      <c r="E194" s="0" t="n">
        <f aca="false">D194-($I$28*C194)</f>
        <v>3.57357411945206</v>
      </c>
      <c r="F194" s="0" t="n">
        <f aca="false">D194+($I$28*C194)</f>
        <v>3.90062588054794</v>
      </c>
    </row>
    <row r="195" customFormat="false" ht="15" hidden="false" customHeight="false" outlineLevel="0" collapsed="false">
      <c r="A195" s="0" t="n">
        <f aca="false">A194+5</f>
        <v>1225</v>
      </c>
      <c r="B195" s="0" t="n">
        <f aca="false">(A195-$B$21)^2</f>
        <v>625</v>
      </c>
      <c r="C195" s="0" t="n">
        <f aca="false">$B$23*SQRT(1+(1/18)+(B195/$D$21))</f>
        <v>0.0771327231447615</v>
      </c>
      <c r="D195" s="0" t="n">
        <f aca="false">(0.00451*A195)-1.7651</f>
        <v>3.75965</v>
      </c>
      <c r="E195" s="0" t="n">
        <f aca="false">D195-($I$28*C195)</f>
        <v>3.59612862693311</v>
      </c>
      <c r="F195" s="0" t="n">
        <f aca="false">D195+($I$28*C195)</f>
        <v>3.92317137306689</v>
      </c>
    </row>
    <row r="196" customFormat="false" ht="15" hidden="false" customHeight="false" outlineLevel="0" collapsed="false">
      <c r="A196" s="0" t="n">
        <f aca="false">A195+5</f>
        <v>1230</v>
      </c>
      <c r="B196" s="0" t="n">
        <f aca="false">(A196-$B$21)^2</f>
        <v>400</v>
      </c>
      <c r="C196" s="0" t="n">
        <f aca="false">$B$23*SQRT(1+(1/18)+(B196/$D$21))</f>
        <v>0.0771309835072806</v>
      </c>
      <c r="D196" s="0" t="n">
        <f aca="false">(0.00451*A196)-1.7651</f>
        <v>3.7822</v>
      </c>
      <c r="E196" s="0" t="n">
        <f aca="false">D196-($I$28*C196)</f>
        <v>3.61868231496457</v>
      </c>
      <c r="F196" s="0" t="n">
        <f aca="false">D196+($I$28*C196)</f>
        <v>3.94571768503543</v>
      </c>
    </row>
    <row r="197" customFormat="false" ht="15" hidden="false" customHeight="false" outlineLevel="0" collapsed="false">
      <c r="A197" s="0" t="n">
        <f aca="false">A196+5</f>
        <v>1235</v>
      </c>
      <c r="B197" s="0" t="n">
        <f aca="false">(A197-$B$21)^2</f>
        <v>225</v>
      </c>
      <c r="C197" s="0" t="n">
        <f aca="false">$B$23*SQRT(1+(1/18)+(B197/$D$21))</f>
        <v>0.0771296304287797</v>
      </c>
      <c r="D197" s="0" t="n">
        <f aca="false">(0.00451*A197)-1.7651</f>
        <v>3.80475</v>
      </c>
      <c r="E197" s="0" t="n">
        <f aca="false">D197-($I$28*C197)</f>
        <v>3.64123518349099</v>
      </c>
      <c r="F197" s="0" t="n">
        <f aca="false">D197+($I$28*C197)</f>
        <v>3.96826481650901</v>
      </c>
    </row>
    <row r="198" customFormat="false" ht="15" hidden="false" customHeight="false" outlineLevel="0" collapsed="false">
      <c r="A198" s="0" t="n">
        <f aca="false">A197+5</f>
        <v>1240</v>
      </c>
      <c r="B198" s="0" t="n">
        <f aca="false">(A198-$B$21)^2</f>
        <v>100</v>
      </c>
      <c r="C198" s="0" t="n">
        <f aca="false">$B$23*SQRT(1+(1/18)+(B198/$D$21))</f>
        <v>0.0771286639296032</v>
      </c>
      <c r="D198" s="0" t="n">
        <f aca="false">(0.00451*A198)-1.7651</f>
        <v>3.8273</v>
      </c>
      <c r="E198" s="0" t="n">
        <f aca="false">D198-($I$28*C198)</f>
        <v>3.66378723246924</v>
      </c>
      <c r="F198" s="0" t="n">
        <f aca="false">D198+($I$28*C198)</f>
        <v>3.99081276753076</v>
      </c>
    </row>
    <row r="199" customFormat="false" ht="15" hidden="false" customHeight="false" outlineLevel="0" collapsed="false">
      <c r="A199" s="0" t="n">
        <f aca="false">A198+5</f>
        <v>1245</v>
      </c>
      <c r="B199" s="0" t="n">
        <f aca="false">(A199-$B$21)^2</f>
        <v>25</v>
      </c>
      <c r="C199" s="0" t="n">
        <f aca="false">$B$23*SQRT(1+(1/18)+(B199/$D$21))</f>
        <v>0.0771280840242839</v>
      </c>
      <c r="D199" s="0" t="n">
        <f aca="false">(0.00451*A199)-1.7651</f>
        <v>3.84985</v>
      </c>
      <c r="E199" s="0" t="n">
        <f aca="false">D199-($I$28*C199)</f>
        <v>3.68633846186852</v>
      </c>
      <c r="F199" s="0" t="n">
        <f aca="false">D199+($I$28*C199)</f>
        <v>4.01336153813148</v>
      </c>
    </row>
    <row r="200" customFormat="false" ht="15" hidden="false" customHeight="false" outlineLevel="0" collapsed="false">
      <c r="A200" s="0" t="n">
        <f aca="false">A199+5</f>
        <v>1250</v>
      </c>
      <c r="B200" s="0" t="n">
        <f aca="false">(A200-$B$21)^2</f>
        <v>0</v>
      </c>
      <c r="C200" s="0" t="n">
        <f aca="false">$B$23*SQRT(1+(1/18)+(B200/$D$21))</f>
        <v>0.0771278907215418</v>
      </c>
      <c r="D200" s="0" t="n">
        <f aca="false">(0.00451*A200)-1.7651</f>
        <v>3.8724</v>
      </c>
      <c r="E200" s="0" t="n">
        <f aca="false">D200-($I$28*C200)</f>
        <v>3.70888887167033</v>
      </c>
      <c r="F200" s="0" t="n">
        <f aca="false">D200+($I$28*C200)</f>
        <v>4.03591112832967</v>
      </c>
    </row>
    <row r="201" customFormat="false" ht="15" hidden="false" customHeight="false" outlineLevel="0" collapsed="false">
      <c r="A201" s="0" t="n">
        <f aca="false">A200+5</f>
        <v>1255</v>
      </c>
      <c r="B201" s="0" t="n">
        <f aca="false">(A201-$B$21)^2</f>
        <v>25</v>
      </c>
      <c r="C201" s="0" t="n">
        <f aca="false">$B$23*SQRT(1+(1/18)+(B201/$D$21))</f>
        <v>0.0771280840242839</v>
      </c>
      <c r="D201" s="0" t="n">
        <f aca="false">(0.00451*A201)-1.7651</f>
        <v>3.89495</v>
      </c>
      <c r="E201" s="0" t="n">
        <f aca="false">D201-($I$28*C201)</f>
        <v>3.73143846186852</v>
      </c>
      <c r="F201" s="0" t="n">
        <f aca="false">D201+($I$28*C201)</f>
        <v>4.05846153813148</v>
      </c>
    </row>
    <row r="202" customFormat="false" ht="15" hidden="false" customHeight="false" outlineLevel="0" collapsed="false">
      <c r="A202" s="0" t="n">
        <f aca="false">A201+5</f>
        <v>1260</v>
      </c>
      <c r="B202" s="0" t="n">
        <f aca="false">(A202-$B$21)^2</f>
        <v>100</v>
      </c>
      <c r="C202" s="0" t="n">
        <f aca="false">$B$23*SQRT(1+(1/18)+(B202/$D$21))</f>
        <v>0.0771286639296032</v>
      </c>
      <c r="D202" s="0" t="n">
        <f aca="false">(0.00451*A202)-1.7651</f>
        <v>3.9175</v>
      </c>
      <c r="E202" s="0" t="n">
        <f aca="false">D202-($I$28*C202)</f>
        <v>3.75398723246924</v>
      </c>
      <c r="F202" s="0" t="n">
        <f aca="false">D202+($I$28*C202)</f>
        <v>4.08101276753076</v>
      </c>
    </row>
    <row r="203" customFormat="false" ht="15" hidden="false" customHeight="false" outlineLevel="0" collapsed="false">
      <c r="A203" s="0" t="n">
        <f aca="false">A202+5</f>
        <v>1265</v>
      </c>
      <c r="B203" s="0" t="n">
        <f aca="false">(A203-$B$21)^2</f>
        <v>225</v>
      </c>
      <c r="C203" s="0" t="n">
        <f aca="false">$B$23*SQRT(1+(1/18)+(B203/$D$21))</f>
        <v>0.0771296304287797</v>
      </c>
      <c r="D203" s="0" t="n">
        <f aca="false">(0.00451*A203)-1.7651</f>
        <v>3.94005</v>
      </c>
      <c r="E203" s="0" t="n">
        <f aca="false">D203-($I$28*C203)</f>
        <v>3.77653518349099</v>
      </c>
      <c r="F203" s="0" t="n">
        <f aca="false">D203+($I$28*C203)</f>
        <v>4.10356481650901</v>
      </c>
    </row>
    <row r="204" customFormat="false" ht="15" hidden="false" customHeight="false" outlineLevel="0" collapsed="false">
      <c r="A204" s="0" t="n">
        <f aca="false">A203+5</f>
        <v>1270</v>
      </c>
      <c r="B204" s="0" t="n">
        <f aca="false">(A204-$B$21)^2</f>
        <v>400</v>
      </c>
      <c r="C204" s="0" t="n">
        <f aca="false">$B$23*SQRT(1+(1/18)+(B204/$D$21))</f>
        <v>0.0771309835072806</v>
      </c>
      <c r="D204" s="0" t="n">
        <f aca="false">(0.00451*A204)-1.7651</f>
        <v>3.9626</v>
      </c>
      <c r="E204" s="0" t="n">
        <f aca="false">D204-($I$28*C204)</f>
        <v>3.79908231496457</v>
      </c>
      <c r="F204" s="0" t="n">
        <f aca="false">D204+($I$28*C204)</f>
        <v>4.12611768503544</v>
      </c>
    </row>
    <row r="205" customFormat="false" ht="15" hidden="false" customHeight="false" outlineLevel="0" collapsed="false">
      <c r="A205" s="0" t="n">
        <f aca="false">A204+5</f>
        <v>1275</v>
      </c>
      <c r="B205" s="0" t="n">
        <f aca="false">(A205-$B$21)^2</f>
        <v>625</v>
      </c>
      <c r="C205" s="0" t="n">
        <f aca="false">$B$23*SQRT(1+(1/18)+(B205/$D$21))</f>
        <v>0.0771327231447615</v>
      </c>
      <c r="D205" s="0" t="n">
        <f aca="false">(0.00451*A205)-1.7651</f>
        <v>3.98515</v>
      </c>
      <c r="E205" s="0" t="n">
        <f aca="false">D205-($I$28*C205)</f>
        <v>3.82162862693311</v>
      </c>
      <c r="F205" s="0" t="n">
        <f aca="false">D205+($I$28*C205)</f>
        <v>4.1486713730669</v>
      </c>
    </row>
    <row r="206" customFormat="false" ht="15" hidden="false" customHeight="false" outlineLevel="0" collapsed="false">
      <c r="A206" s="0" t="n">
        <f aca="false">A205+5</f>
        <v>1280</v>
      </c>
      <c r="B206" s="0" t="n">
        <f aca="false">(A206-$B$21)^2</f>
        <v>900</v>
      </c>
      <c r="C206" s="0" t="n">
        <f aca="false">$B$23*SQRT(1+(1/18)+(B206/$D$21))</f>
        <v>0.077134849315068</v>
      </c>
      <c r="D206" s="0" t="n">
        <f aca="false">(0.00451*A206)-1.7651</f>
        <v>4.0077</v>
      </c>
      <c r="E206" s="0" t="n">
        <f aca="false">D206-($I$28*C206)</f>
        <v>3.84417411945206</v>
      </c>
      <c r="F206" s="0" t="n">
        <f aca="false">D206+($I$28*C206)</f>
        <v>4.17122588054794</v>
      </c>
    </row>
    <row r="207" customFormat="false" ht="15" hidden="false" customHeight="false" outlineLevel="0" collapsed="false">
      <c r="A207" s="0" t="n">
        <f aca="false">A206+5</f>
        <v>1285</v>
      </c>
      <c r="B207" s="0" t="n">
        <f aca="false">(A207-$B$21)^2</f>
        <v>1225</v>
      </c>
      <c r="C207" s="0" t="n">
        <f aca="false">$B$23*SQRT(1+(1/18)+(B207/$D$21))</f>
        <v>0.0771373619862376</v>
      </c>
      <c r="D207" s="0" t="n">
        <f aca="false">(0.00451*A207)-1.7651</f>
        <v>4.03025</v>
      </c>
      <c r="E207" s="0" t="n">
        <f aca="false">D207-($I$28*C207)</f>
        <v>3.86671879258918</v>
      </c>
      <c r="F207" s="0" t="n">
        <f aca="false">D207+($I$28*C207)</f>
        <v>4.19378120741082</v>
      </c>
    </row>
    <row r="208" customFormat="false" ht="15" hidden="false" customHeight="false" outlineLevel="0" collapsed="false">
      <c r="A208" s="0" t="n">
        <f aca="false">A207+5</f>
        <v>1290</v>
      </c>
      <c r="B208" s="0" t="n">
        <f aca="false">(A208-$B$21)^2</f>
        <v>1600</v>
      </c>
      <c r="C208" s="0" t="n">
        <f aca="false">$B$23*SQRT(1+(1/18)+(B208/$D$21))</f>
        <v>0.0771402611205021</v>
      </c>
      <c r="D208" s="0" t="n">
        <f aca="false">(0.00451*A208)-1.7651</f>
        <v>4.0528</v>
      </c>
      <c r="E208" s="0" t="n">
        <f aca="false">D208-($I$28*C208)</f>
        <v>3.88926264642454</v>
      </c>
      <c r="F208" s="0" t="n">
        <f aca="false">D208+($I$28*C208)</f>
        <v>4.21633735357546</v>
      </c>
    </row>
    <row r="209" customFormat="false" ht="15" hidden="false" customHeight="false" outlineLevel="0" collapsed="false">
      <c r="A209" s="0" t="n">
        <f aca="false">A208+5</f>
        <v>1295</v>
      </c>
      <c r="B209" s="0" t="n">
        <f aca="false">(A209-$B$21)^2</f>
        <v>2025</v>
      </c>
      <c r="C209" s="0" t="n">
        <f aca="false">$B$23*SQRT(1+(1/18)+(B209/$D$21))</f>
        <v>0.0771435466742905</v>
      </c>
      <c r="D209" s="0" t="n">
        <f aca="false">(0.00451*A209)-1.7651</f>
        <v>4.07535</v>
      </c>
      <c r="E209" s="0" t="n">
        <f aca="false">D209-($I$28*C209)</f>
        <v>3.9118056810505</v>
      </c>
      <c r="F209" s="0" t="n">
        <f aca="false">D209+($I$28*C209)</f>
        <v>4.2388943189495</v>
      </c>
    </row>
    <row r="210" customFormat="false" ht="15" hidden="false" customHeight="false" outlineLevel="0" collapsed="false">
      <c r="A210" s="0" t="n">
        <f aca="false">A209+5</f>
        <v>1300</v>
      </c>
      <c r="B210" s="0" t="n">
        <f aca="false">(A210-$B$21)^2</f>
        <v>2500</v>
      </c>
      <c r="C210" s="0" t="n">
        <f aca="false">$B$23*SQRT(1+(1/18)+(B210/$D$21))</f>
        <v>0.077147218598232</v>
      </c>
      <c r="D210" s="0" t="n">
        <f aca="false">(0.00451*A210)-1.7651</f>
        <v>4.0979</v>
      </c>
      <c r="E210" s="0" t="n">
        <f aca="false">D210-($I$28*C210)</f>
        <v>3.93434789657175</v>
      </c>
      <c r="F210" s="0" t="n">
        <f aca="false">D210+($I$28*C210)</f>
        <v>4.26145210342825</v>
      </c>
    </row>
    <row r="211" customFormat="false" ht="15" hidden="false" customHeight="false" outlineLevel="0" collapsed="false">
      <c r="A211" s="0" t="n">
        <f aca="false">A210+5</f>
        <v>1305</v>
      </c>
      <c r="B211" s="0" t="n">
        <f aca="false">(A211-$B$21)^2</f>
        <v>3025</v>
      </c>
      <c r="C211" s="0" t="n">
        <f aca="false">$B$23*SQRT(1+(1/18)+(B211/$D$21))</f>
        <v>0.0771512768371603</v>
      </c>
      <c r="D211" s="0" t="n">
        <f aca="false">(0.00451*A211)-1.7651</f>
        <v>4.12045</v>
      </c>
      <c r="E211" s="0" t="n">
        <f aca="false">D211-($I$28*C211)</f>
        <v>3.95688929310522</v>
      </c>
      <c r="F211" s="0" t="n">
        <f aca="false">D211+($I$28*C211)</f>
        <v>4.28401070689478</v>
      </c>
    </row>
    <row r="212" customFormat="false" ht="15" hidden="false" customHeight="false" outlineLevel="0" collapsed="false">
      <c r="A212" s="0" t="n">
        <f aca="false">A211+5</f>
        <v>1310</v>
      </c>
      <c r="B212" s="0" t="n">
        <f aca="false">(A212-$B$21)^2</f>
        <v>3600</v>
      </c>
      <c r="C212" s="0" t="n">
        <f aca="false">$B$23*SQRT(1+(1/18)+(B212/$D$21))</f>
        <v>0.0771557213301171</v>
      </c>
      <c r="D212" s="0" t="n">
        <f aca="false">(0.00451*A212)-1.7651</f>
        <v>4.143</v>
      </c>
      <c r="E212" s="0" t="n">
        <f aca="false">D212-($I$28*C212)</f>
        <v>3.97942987078015</v>
      </c>
      <c r="F212" s="0" t="n">
        <f aca="false">D212+($I$28*C212)</f>
        <v>4.30657012921985</v>
      </c>
    </row>
    <row r="213" customFormat="false" ht="15" hidden="false" customHeight="false" outlineLevel="0" collapsed="false">
      <c r="A213" s="0" t="n">
        <f aca="false">A212+5</f>
        <v>1315</v>
      </c>
      <c r="B213" s="0" t="n">
        <f aca="false">(A213-$B$21)^2</f>
        <v>4225</v>
      </c>
      <c r="C213" s="0" t="n">
        <f aca="false">$B$23*SQRT(1+(1/18)+(B213/$D$21))</f>
        <v>0.077160552010357</v>
      </c>
      <c r="D213" s="0" t="n">
        <f aca="false">(0.00451*A213)-1.7651</f>
        <v>4.16555</v>
      </c>
      <c r="E213" s="0" t="n">
        <f aca="false">D213-($I$28*C213)</f>
        <v>4.00196962973804</v>
      </c>
      <c r="F213" s="0" t="n">
        <f aca="false">D213+($I$28*C213)</f>
        <v>4.32913037026196</v>
      </c>
    </row>
    <row r="214" customFormat="false" ht="15" hidden="false" customHeight="false" outlineLevel="0" collapsed="false">
      <c r="A214" s="0" t="n">
        <f aca="false">A213+5</f>
        <v>1320</v>
      </c>
      <c r="B214" s="0" t="n">
        <f aca="false">(A214-$B$21)^2</f>
        <v>4900</v>
      </c>
      <c r="C214" s="0" t="n">
        <f aca="false">$B$23*SQRT(1+(1/18)+(B214/$D$21))</f>
        <v>0.0771657688053526</v>
      </c>
      <c r="D214" s="0" t="n">
        <f aca="false">(0.00451*A214)-1.7651</f>
        <v>4.1881</v>
      </c>
      <c r="E214" s="0" t="n">
        <f aca="false">D214-($I$28*C214)</f>
        <v>4.02450857013265</v>
      </c>
      <c r="F214" s="0" t="n">
        <f aca="false">D214+($I$28*C214)</f>
        <v>4.35169142986735</v>
      </c>
    </row>
    <row r="215" customFormat="false" ht="15" hidden="false" customHeight="false" outlineLevel="0" collapsed="false">
      <c r="A215" s="0" t="n">
        <f aca="false">A214+5</f>
        <v>1325</v>
      </c>
      <c r="B215" s="0" t="n">
        <f aca="false">(A215-$B$21)^2</f>
        <v>5625</v>
      </c>
      <c r="C215" s="0" t="n">
        <f aca="false">$B$23*SQRT(1+(1/18)+(B215/$D$21))</f>
        <v>0.0771713716367995</v>
      </c>
      <c r="D215" s="0" t="n">
        <f aca="false">(0.00451*A215)-1.7651</f>
        <v>4.21065</v>
      </c>
      <c r="E215" s="0" t="n">
        <f aca="false">D215-($I$28*C215)</f>
        <v>4.04704669212999</v>
      </c>
      <c r="F215" s="0" t="n">
        <f aca="false">D215+($I$28*C215)</f>
        <v>4.37425330787002</v>
      </c>
    </row>
    <row r="216" customFormat="false" ht="15" hidden="false" customHeight="false" outlineLevel="0" collapsed="false">
      <c r="A216" s="0" t="n">
        <f aca="false">A215+5</f>
        <v>1330</v>
      </c>
      <c r="B216" s="0" t="n">
        <f aca="false">(A216-$B$21)^2</f>
        <v>6400</v>
      </c>
      <c r="C216" s="0" t="n">
        <f aca="false">$B$23*SQRT(1+(1/18)+(B216/$D$21))</f>
        <v>0.0771773604206228</v>
      </c>
      <c r="D216" s="0" t="n">
        <f aca="false">(0.00451*A216)-1.7651</f>
        <v>4.2332</v>
      </c>
      <c r="E216" s="0" t="n">
        <f aca="false">D216-($I$28*C216)</f>
        <v>4.06958399590828</v>
      </c>
      <c r="F216" s="0" t="n">
        <f aca="false">D216+($I$28*C216)</f>
        <v>4.39681600409172</v>
      </c>
    </row>
    <row r="217" customFormat="false" ht="15" hidden="false" customHeight="false" outlineLevel="0" collapsed="false">
      <c r="A217" s="0" t="n">
        <f aca="false">A216+5</f>
        <v>1335</v>
      </c>
      <c r="B217" s="0" t="n">
        <f aca="false">(A217-$B$21)^2</f>
        <v>7225</v>
      </c>
      <c r="C217" s="0" t="n">
        <f aca="false">$B$23*SQRT(1+(1/18)+(B217/$D$21))</f>
        <v>0.0771837350669827</v>
      </c>
      <c r="D217" s="0" t="n">
        <f aca="false">(0.00451*A217)-1.7651</f>
        <v>4.25575</v>
      </c>
      <c r="E217" s="0" t="n">
        <f aca="false">D217-($I$28*C217)</f>
        <v>4.092120481658</v>
      </c>
      <c r="F217" s="0" t="n">
        <f aca="false">D217+($I$28*C217)</f>
        <v>4.419379518342</v>
      </c>
    </row>
    <row r="218" customFormat="false" ht="15" hidden="false" customHeight="false" outlineLevel="0" collapsed="false">
      <c r="A218" s="0" t="n">
        <f aca="false">A217+5</f>
        <v>1340</v>
      </c>
      <c r="B218" s="0" t="n">
        <f aca="false">(A218-$B$21)^2</f>
        <v>8100</v>
      </c>
      <c r="C218" s="0" t="n">
        <f aca="false">$B$23*SQRT(1+(1/18)+(B218/$D$21))</f>
        <v>0.077190495480282</v>
      </c>
      <c r="D218" s="0" t="n">
        <f aca="false">(0.00451*A218)-1.7651</f>
        <v>4.2783</v>
      </c>
      <c r="E218" s="0" t="n">
        <f aca="false">D218-($I$28*C218)</f>
        <v>4.1146561495818</v>
      </c>
      <c r="F218" s="0" t="n">
        <f aca="false">D218+($I$28*C218)</f>
        <v>4.4419438504182</v>
      </c>
    </row>
    <row r="219" customFormat="false" ht="15" hidden="false" customHeight="false" outlineLevel="0" collapsed="false">
      <c r="A219" s="0" t="n">
        <f aca="false">A218+5</f>
        <v>1345</v>
      </c>
      <c r="B219" s="0" t="n">
        <f aca="false">(A219-$B$21)^2</f>
        <v>9025</v>
      </c>
      <c r="C219" s="0" t="n">
        <f aca="false">$B$23*SQRT(1+(1/18)+(B219/$D$21))</f>
        <v>0.0771976415591725</v>
      </c>
      <c r="D219" s="0" t="n">
        <f aca="false">(0.00451*A219)-1.7651</f>
        <v>4.30085</v>
      </c>
      <c r="E219" s="0" t="n">
        <f aca="false">D219-($I$28*C219)</f>
        <v>4.13719099989456</v>
      </c>
      <c r="F219" s="0" t="n">
        <f aca="false">D219+($I$28*C219)</f>
        <v>4.46450900010545</v>
      </c>
    </row>
    <row r="220" customFormat="false" ht="15" hidden="false" customHeight="false" outlineLevel="0" collapsed="false">
      <c r="A220" s="0" t="n">
        <f aca="false">A219+5</f>
        <v>1350</v>
      </c>
      <c r="B220" s="0" t="n">
        <f aca="false">(A220-$B$21)^2</f>
        <v>10000</v>
      </c>
      <c r="C220" s="0" t="n">
        <f aca="false">$B$23*SQRT(1+(1/18)+(B220/$D$21))</f>
        <v>0.0772051731965631</v>
      </c>
      <c r="D220" s="0" t="n">
        <f aca="false">(0.00451*A220)-1.7651</f>
        <v>4.3234</v>
      </c>
      <c r="E220" s="0" t="n">
        <f aca="false">D220-($I$28*C220)</f>
        <v>4.15972503282329</v>
      </c>
      <c r="F220" s="0" t="n">
        <f aca="false">D220+($I$28*C220)</f>
        <v>4.48707496717671</v>
      </c>
    </row>
    <row r="221" customFormat="false" ht="15" hidden="false" customHeight="false" outlineLevel="0" collapsed="false">
      <c r="A221" s="0" t="n">
        <f aca="false">A220+5</f>
        <v>1355</v>
      </c>
      <c r="B221" s="0" t="n">
        <f aca="false">(A221-$B$21)^2</f>
        <v>11025</v>
      </c>
      <c r="C221" s="0" t="n">
        <f aca="false">$B$23*SQRT(1+(1/18)+(B221/$D$21))</f>
        <v>0.0772130902796275</v>
      </c>
      <c r="D221" s="0" t="n">
        <f aca="false">(0.00451*A221)-1.7651</f>
        <v>4.34595</v>
      </c>
      <c r="E221" s="0" t="n">
        <f aca="false">D221-($I$28*C221)</f>
        <v>4.18225824860719</v>
      </c>
      <c r="F221" s="0" t="n">
        <f aca="false">D221+($I$28*C221)</f>
        <v>4.50964175139281</v>
      </c>
    </row>
    <row r="222" customFormat="false" ht="15" hidden="false" customHeight="false" outlineLevel="0" collapsed="false">
      <c r="A222" s="0" t="n">
        <f aca="false">A221+5</f>
        <v>1360</v>
      </c>
      <c r="B222" s="0" t="n">
        <f aca="false">(A222-$B$21)^2</f>
        <v>12100</v>
      </c>
      <c r="C222" s="0" t="n">
        <f aca="false">$B$23*SQRT(1+(1/18)+(B222/$D$21))</f>
        <v>0.077221392689813</v>
      </c>
      <c r="D222" s="0" t="n">
        <f aca="false">(0.00451*A222)-1.7651</f>
        <v>4.3685</v>
      </c>
      <c r="E222" s="0" t="n">
        <f aca="false">D222-($I$28*C222)</f>
        <v>4.2047906474976</v>
      </c>
      <c r="F222" s="0" t="n">
        <f aca="false">D222+($I$28*C222)</f>
        <v>4.53220935250241</v>
      </c>
    </row>
    <row r="223" customFormat="false" ht="15" hidden="false" customHeight="false" outlineLevel="0" collapsed="false">
      <c r="A223" s="0" t="n">
        <f aca="false">A222+5</f>
        <v>1365</v>
      </c>
      <c r="B223" s="0" t="n">
        <f aca="false">(A223-$B$21)^2</f>
        <v>13225</v>
      </c>
      <c r="C223" s="0" t="n">
        <f aca="false">$B$23*SQRT(1+(1/18)+(B223/$D$21))</f>
        <v>0.077230080302849</v>
      </c>
      <c r="D223" s="0" t="n">
        <f aca="false">(0.00451*A223)-1.7651</f>
        <v>4.39105</v>
      </c>
      <c r="E223" s="0" t="n">
        <f aca="false">D223-($I$28*C223)</f>
        <v>4.22732222975796</v>
      </c>
      <c r="F223" s="0" t="n">
        <f aca="false">D223+($I$28*C223)</f>
        <v>4.55477777024204</v>
      </c>
    </row>
    <row r="224" customFormat="false" ht="15" hidden="false" customHeight="false" outlineLevel="0" collapsed="false">
      <c r="A224" s="0" t="n">
        <f aca="false">A223+5</f>
        <v>1370</v>
      </c>
      <c r="B224" s="0" t="n">
        <f aca="false">(A224-$B$21)^2</f>
        <v>14400</v>
      </c>
      <c r="C224" s="0" t="n">
        <f aca="false">$B$23*SQRT(1+(1/18)+(B224/$D$21))</f>
        <v>0.0772391529887561</v>
      </c>
      <c r="D224" s="0" t="n">
        <f aca="false">(0.00451*A224)-1.7651</f>
        <v>4.4136</v>
      </c>
      <c r="E224" s="0" t="n">
        <f aca="false">D224-($I$28*C224)</f>
        <v>4.24985299566384</v>
      </c>
      <c r="F224" s="0" t="n">
        <f aca="false">D224+($I$28*C224)</f>
        <v>4.57734700433616</v>
      </c>
    </row>
    <row r="225" customFormat="false" ht="15" hidden="false" customHeight="false" outlineLevel="0" collapsed="false">
      <c r="A225" s="0" t="n">
        <f aca="false">A224+5</f>
        <v>1375</v>
      </c>
      <c r="B225" s="0" t="n">
        <f aca="false">(A225-$B$21)^2</f>
        <v>15625</v>
      </c>
      <c r="C225" s="0" t="n">
        <f aca="false">$B$23*SQRT(1+(1/18)+(B225/$D$21))</f>
        <v>0.0772486106118565</v>
      </c>
      <c r="D225" s="0" t="n">
        <f aca="false">(0.00451*A225)-1.7651</f>
        <v>4.43615</v>
      </c>
      <c r="E225" s="0" t="n">
        <f aca="false">D225-($I$28*C225)</f>
        <v>4.27238294550286</v>
      </c>
      <c r="F225" s="0" t="n">
        <f aca="false">D225+($I$28*C225)</f>
        <v>4.59991705449714</v>
      </c>
    </row>
    <row r="226" customFormat="false" ht="15" hidden="false" customHeight="false" outlineLevel="0" collapsed="false">
      <c r="A226" s="0" t="n">
        <f aca="false">A225+5</f>
        <v>1380</v>
      </c>
      <c r="B226" s="0" t="n">
        <f aca="false">(A226-$B$21)^2</f>
        <v>16900</v>
      </c>
      <c r="C226" s="0" t="n">
        <f aca="false">$B$23*SQRT(1+(1/18)+(B226/$D$21))</f>
        <v>0.0772584530307834</v>
      </c>
      <c r="D226" s="0" t="n">
        <f aca="false">(0.00451*A226)-1.7651</f>
        <v>4.4587</v>
      </c>
      <c r="E226" s="0" t="n">
        <f aca="false">D226-($I$28*C226)</f>
        <v>4.29491207957474</v>
      </c>
      <c r="F226" s="0" t="n">
        <f aca="false">D226+($I$28*C226)</f>
        <v>4.62248792042526</v>
      </c>
    </row>
    <row r="227" customFormat="false" ht="15" hidden="false" customHeight="false" outlineLevel="0" collapsed="false">
      <c r="A227" s="0" t="n">
        <f aca="false">A226+5</f>
        <v>1385</v>
      </c>
      <c r="B227" s="0" t="n">
        <f aca="false">(A227-$B$21)^2</f>
        <v>18225</v>
      </c>
      <c r="C227" s="0" t="n">
        <f aca="false">$B$23*SQRT(1+(1/18)+(B227/$D$21))</f>
        <v>0.077268680098492</v>
      </c>
      <c r="D227" s="0" t="n">
        <f aca="false">(0.00451*A227)-1.7651</f>
        <v>4.48125</v>
      </c>
      <c r="E227" s="0" t="n">
        <f aca="false">D227-($I$28*C227)</f>
        <v>4.3174403981912</v>
      </c>
      <c r="F227" s="0" t="n">
        <f aca="false">D227+($I$28*C227)</f>
        <v>4.6450596018088</v>
      </c>
    </row>
    <row r="228" customFormat="false" ht="15" hidden="false" customHeight="false" outlineLevel="0" collapsed="false">
      <c r="A228" s="0" t="n">
        <f aca="false">A227+5</f>
        <v>1390</v>
      </c>
      <c r="B228" s="0" t="n">
        <f aca="false">(A228-$B$21)^2</f>
        <v>19600</v>
      </c>
      <c r="C228" s="0" t="n">
        <f aca="false">$B$23*SQRT(1+(1/18)+(B228/$D$21))</f>
        <v>0.0772792916622701</v>
      </c>
      <c r="D228" s="0" t="n">
        <f aca="false">(0.00451*A228)-1.7651</f>
        <v>4.5038</v>
      </c>
      <c r="E228" s="0" t="n">
        <f aca="false">D228-($I$28*C228)</f>
        <v>4.33996790167599</v>
      </c>
      <c r="F228" s="0" t="n">
        <f aca="false">D228+($I$28*C228)</f>
        <v>4.66763209832401</v>
      </c>
    </row>
    <row r="229" customFormat="false" ht="15" hidden="false" customHeight="false" outlineLevel="0" collapsed="false">
      <c r="A229" s="0" t="n">
        <f aca="false">A228+5</f>
        <v>1395</v>
      </c>
      <c r="B229" s="0" t="n">
        <f aca="false">(A229-$B$21)^2</f>
        <v>21025</v>
      </c>
      <c r="C229" s="0" t="n">
        <f aca="false">$B$23*SQRT(1+(1/18)+(B229/$D$21))</f>
        <v>0.0772902875637497</v>
      </c>
      <c r="D229" s="0" t="n">
        <f aca="false">(0.00451*A229)-1.7651</f>
        <v>4.52635</v>
      </c>
      <c r="E229" s="0" t="n">
        <f aca="false">D229-($I$28*C229)</f>
        <v>4.36249459036485</v>
      </c>
      <c r="F229" s="0" t="n">
        <f aca="false">D229+($I$28*C229)</f>
        <v>4.69020540963515</v>
      </c>
    </row>
    <row r="230" customFormat="false" ht="15" hidden="false" customHeight="false" outlineLevel="0" collapsed="false">
      <c r="A230" s="0" t="n">
        <f aca="false">A229+5</f>
        <v>1400</v>
      </c>
      <c r="B230" s="0" t="n">
        <f aca="false">(A230-$B$21)^2</f>
        <v>22500</v>
      </c>
      <c r="C230" s="0" t="n">
        <f aca="false">$B$23*SQRT(1+(1/18)+(B230/$D$21))</f>
        <v>0.0773016676389184</v>
      </c>
      <c r="D230" s="0" t="n">
        <f aca="false">(0.00451*A230)-1.7651</f>
        <v>4.5489</v>
      </c>
      <c r="E230" s="0" t="n">
        <f aca="false">D230-($I$28*C230)</f>
        <v>4.38502046460549</v>
      </c>
      <c r="F230" s="0" t="n">
        <f aca="false">D230+($I$28*C230)</f>
        <v>4.71277953539451</v>
      </c>
    </row>
    <row r="231" customFormat="false" ht="15" hidden="false" customHeight="false" outlineLevel="0" collapsed="false">
      <c r="A231" s="0" t="n">
        <f aca="false">A230+5</f>
        <v>1405</v>
      </c>
      <c r="B231" s="0" t="n">
        <f aca="false">(A231-$B$21)^2</f>
        <v>24025</v>
      </c>
      <c r="C231" s="0" t="n">
        <f aca="false">$B$23*SQRT(1+(1/18)+(B231/$D$21))</f>
        <v>0.0773134317181321</v>
      </c>
      <c r="D231" s="0" t="n">
        <f aca="false">(0.00451*A231)-1.7651</f>
        <v>4.57145</v>
      </c>
      <c r="E231" s="0" t="n">
        <f aca="false">D231-($I$28*C231)</f>
        <v>4.40754552475756</v>
      </c>
      <c r="F231" s="0" t="n">
        <f aca="false">D231+($I$28*C231)</f>
        <v>4.73535447524244</v>
      </c>
    </row>
    <row r="232" customFormat="false" ht="15" hidden="false" customHeight="false" outlineLevel="0" collapsed="false">
      <c r="A232" s="0" t="n">
        <f aca="false">A231+5</f>
        <v>1410</v>
      </c>
      <c r="B232" s="0" t="n">
        <f aca="false">(A232-$B$21)^2</f>
        <v>25600</v>
      </c>
      <c r="C232" s="0" t="n">
        <f aca="false">$B$23*SQRT(1+(1/18)+(B232/$D$21))</f>
        <v>0.0773255796261272</v>
      </c>
      <c r="D232" s="0" t="n">
        <f aca="false">(0.00451*A232)-1.7651</f>
        <v>4.594</v>
      </c>
      <c r="E232" s="0" t="n">
        <f aca="false">D232-($I$28*C232)</f>
        <v>4.43006977119261</v>
      </c>
      <c r="F232" s="0" t="n">
        <f aca="false">D232+($I$28*C232)</f>
        <v>4.75793022880739</v>
      </c>
    </row>
    <row r="233" customFormat="false" ht="15" hidden="false" customHeight="false" outlineLevel="0" collapsed="false">
      <c r="A233" s="0" t="n">
        <f aca="false">A232+5</f>
        <v>1415</v>
      </c>
      <c r="B233" s="0" t="n">
        <f aca="false">(A233-$B$21)^2</f>
        <v>27225</v>
      </c>
      <c r="C233" s="0" t="n">
        <f aca="false">$B$23*SQRT(1+(1/18)+(B233/$D$21))</f>
        <v>0.0773381111820335</v>
      </c>
      <c r="D233" s="0" t="n">
        <f aca="false">(0.00451*A233)-1.7651</f>
        <v>4.61655</v>
      </c>
      <c r="E233" s="0" t="n">
        <f aca="false">D233-($I$28*C233)</f>
        <v>4.45259320429409</v>
      </c>
      <c r="F233" s="0" t="n">
        <f aca="false">D233+($I$28*C233)</f>
        <v>4.78050679570591</v>
      </c>
    </row>
    <row r="234" customFormat="false" ht="15" hidden="false" customHeight="false" outlineLevel="0" collapsed="false">
      <c r="A234" s="0" t="n">
        <f aca="false">A233+5</f>
        <v>1420</v>
      </c>
      <c r="B234" s="0" t="n">
        <f aca="false">(A234-$B$21)^2</f>
        <v>28900</v>
      </c>
      <c r="C234" s="0" t="n">
        <f aca="false">$B$23*SQRT(1+(1/18)+(B234/$D$21))</f>
        <v>0.077351026199388</v>
      </c>
      <c r="D234" s="0" t="n">
        <f aca="false">(0.00451*A234)-1.7651</f>
        <v>4.6391</v>
      </c>
      <c r="E234" s="0" t="n">
        <f aca="false">D234-($I$28*C234)</f>
        <v>4.4751158244573</v>
      </c>
      <c r="F234" s="0" t="n">
        <f aca="false">D234+($I$28*C234)</f>
        <v>4.8030841755427</v>
      </c>
    </row>
    <row r="235" customFormat="false" ht="15" hidden="false" customHeight="false" outlineLevel="0" collapsed="false">
      <c r="A235" s="0" t="n">
        <f aca="false">A234+5</f>
        <v>1425</v>
      </c>
      <c r="B235" s="0" t="n">
        <f aca="false">(A235-$B$21)^2</f>
        <v>30625</v>
      </c>
      <c r="C235" s="0" t="n">
        <f aca="false">$B$23*SQRT(1+(1/18)+(B235/$D$21))</f>
        <v>0.0773643244861482</v>
      </c>
      <c r="D235" s="0" t="n">
        <f aca="false">(0.00451*A235)-1.7651</f>
        <v>4.66165</v>
      </c>
      <c r="E235" s="0" t="n">
        <f aca="false">D235-($I$28*C235)</f>
        <v>4.49763763208937</v>
      </c>
      <c r="F235" s="0" t="n">
        <f aca="false">D235+($I$28*C235)</f>
        <v>4.82566236791063</v>
      </c>
    </row>
    <row r="236" customFormat="false" ht="15" hidden="false" customHeight="false" outlineLevel="0" collapsed="false">
      <c r="A236" s="0" t="n">
        <f aca="false">A235+5</f>
        <v>1430</v>
      </c>
      <c r="B236" s="0" t="n">
        <f aca="false">(A236-$B$21)^2</f>
        <v>32400</v>
      </c>
      <c r="C236" s="0" t="n">
        <f aca="false">$B$23*SQRT(1+(1/18)+(B236/$D$21))</f>
        <v>0.0773780058447065</v>
      </c>
      <c r="D236" s="0" t="n">
        <f aca="false">(0.00451*A236)-1.7651</f>
        <v>4.6842</v>
      </c>
      <c r="E236" s="0" t="n">
        <f aca="false">D236-($I$28*C236)</f>
        <v>4.52015862760922</v>
      </c>
      <c r="F236" s="0" t="n">
        <f aca="false">D236+($I$28*C236)</f>
        <v>4.84824137239078</v>
      </c>
    </row>
    <row r="237" customFormat="false" ht="15" hidden="false" customHeight="false" outlineLevel="0" collapsed="false">
      <c r="A237" s="0" t="n">
        <f aca="false">A236+5</f>
        <v>1435</v>
      </c>
      <c r="B237" s="0" t="n">
        <f aca="false">(A237-$B$21)^2</f>
        <v>34225</v>
      </c>
      <c r="C237" s="0" t="n">
        <f aca="false">$B$23*SQRT(1+(1/18)+(B237/$D$21))</f>
        <v>0.0773920700719048</v>
      </c>
      <c r="D237" s="0" t="n">
        <f aca="false">(0.00451*A237)-1.7651</f>
        <v>4.70675</v>
      </c>
      <c r="E237" s="0" t="n">
        <f aca="false">D237-($I$28*C237)</f>
        <v>4.54267881144756</v>
      </c>
      <c r="F237" s="0" t="n">
        <f aca="false">D237+($I$28*C237)</f>
        <v>4.87082118855244</v>
      </c>
    </row>
    <row r="238" customFormat="false" ht="15" hidden="false" customHeight="false" outlineLevel="0" collapsed="false">
      <c r="A238" s="0" t="n">
        <f aca="false">A237+5</f>
        <v>1440</v>
      </c>
      <c r="B238" s="0" t="n">
        <f aca="false">(A238-$B$21)^2</f>
        <v>36100</v>
      </c>
      <c r="C238" s="0" t="n">
        <f aca="false">$B$23*SQRT(1+(1/18)+(B238/$D$21))</f>
        <v>0.0774065169590494</v>
      </c>
      <c r="D238" s="0" t="n">
        <f aca="false">(0.00451*A238)-1.7651</f>
        <v>4.7293</v>
      </c>
      <c r="E238" s="0" t="n">
        <f aca="false">D238-($I$28*C238)</f>
        <v>4.56519818404682</v>
      </c>
      <c r="F238" s="0" t="n">
        <f aca="false">D238+($I$28*C238)</f>
        <v>4.89340181595319</v>
      </c>
    </row>
    <row r="239" customFormat="false" ht="15" hidden="false" customHeight="false" outlineLevel="0" collapsed="false">
      <c r="A239" s="0" t="n">
        <f aca="false">A238+5</f>
        <v>1445</v>
      </c>
      <c r="B239" s="0" t="n">
        <f aca="false">(A239-$B$21)^2</f>
        <v>38025</v>
      </c>
      <c r="C239" s="0" t="n">
        <f aca="false">$B$23*SQRT(1+(1/18)+(B239/$D$21))</f>
        <v>0.0774213462919262</v>
      </c>
      <c r="D239" s="0" t="n">
        <f aca="false">(0.00451*A239)-1.7651</f>
        <v>4.75185</v>
      </c>
      <c r="E239" s="0" t="n">
        <f aca="false">D239-($I$28*C239)</f>
        <v>4.58771674586112</v>
      </c>
      <c r="F239" s="0" t="n">
        <f aca="false">D239+($I$28*C239)</f>
        <v>4.91598325413889</v>
      </c>
    </row>
    <row r="240" customFormat="false" ht="15" hidden="false" customHeight="false" outlineLevel="0" collapsed="false">
      <c r="A240" s="0" t="n">
        <f aca="false">A239+5</f>
        <v>1450</v>
      </c>
      <c r="B240" s="0" t="n">
        <f aca="false">(A240-$B$21)^2</f>
        <v>40000</v>
      </c>
      <c r="C240" s="0" t="n">
        <f aca="false">$B$23*SQRT(1+(1/18)+(B240/$D$21))</f>
        <v>0.0774365578508168</v>
      </c>
      <c r="D240" s="0" t="n">
        <f aca="false">(0.00451*A240)-1.7651</f>
        <v>4.7744</v>
      </c>
      <c r="E240" s="0" t="n">
        <f aca="false">D240-($I$28*C240)</f>
        <v>4.61023449735627</v>
      </c>
      <c r="F240" s="0" t="n">
        <f aca="false">D240+($I$28*C240)</f>
        <v>4.93856550264373</v>
      </c>
    </row>
    <row r="241" customFormat="false" ht="15" hidden="false" customHeight="false" outlineLevel="0" collapsed="false">
      <c r="A241" s="0" t="n">
        <f aca="false">A240+5</f>
        <v>1455</v>
      </c>
      <c r="B241" s="0" t="n">
        <f aca="false">(A241-$B$21)^2</f>
        <v>42025</v>
      </c>
      <c r="C241" s="0" t="n">
        <f aca="false">$B$23*SQRT(1+(1/18)+(B241/$D$21))</f>
        <v>0.0774521514105143</v>
      </c>
      <c r="D241" s="0" t="n">
        <f aca="false">(0.00451*A241)-1.7651</f>
        <v>4.79695</v>
      </c>
      <c r="E241" s="0" t="n">
        <f aca="false">D241-($I$28*C241)</f>
        <v>4.63275143900971</v>
      </c>
      <c r="F241" s="0" t="n">
        <f aca="false">D241+($I$28*C241)</f>
        <v>4.96114856099029</v>
      </c>
    </row>
    <row r="242" customFormat="false" ht="15" hidden="false" customHeight="false" outlineLevel="0" collapsed="false">
      <c r="A242" s="0" t="n">
        <f aca="false">A241+5</f>
        <v>1460</v>
      </c>
      <c r="B242" s="0" t="n">
        <f aca="false">(A242-$B$21)^2</f>
        <v>44100</v>
      </c>
      <c r="C242" s="0" t="n">
        <f aca="false">$B$23*SQRT(1+(1/18)+(B242/$D$21))</f>
        <v>0.0774681267403398</v>
      </c>
      <c r="D242" s="0" t="n">
        <f aca="false">(0.00451*A242)-1.7651</f>
        <v>4.8195</v>
      </c>
      <c r="E242" s="0" t="n">
        <f aca="false">D242-($I$28*C242)</f>
        <v>4.65526757131048</v>
      </c>
      <c r="F242" s="0" t="n">
        <f aca="false">D242+($I$28*C242)</f>
        <v>4.98373242868952</v>
      </c>
    </row>
    <row r="243" customFormat="false" ht="15" hidden="false" customHeight="false" outlineLevel="0" collapsed="false">
      <c r="A243" s="0" t="n">
        <f aca="false">A242+5</f>
        <v>1465</v>
      </c>
      <c r="B243" s="0" t="n">
        <f aca="false">(A243-$B$21)^2</f>
        <v>46225</v>
      </c>
      <c r="C243" s="0" t="n">
        <f aca="false">$B$23*SQRT(1+(1/18)+(B243/$D$21))</f>
        <v>0.0774844836041595</v>
      </c>
      <c r="D243" s="0" t="n">
        <f aca="false">(0.00451*A243)-1.7651</f>
        <v>4.84205</v>
      </c>
      <c r="E243" s="0" t="n">
        <f aca="false">D243-($I$28*C243)</f>
        <v>4.67778289475918</v>
      </c>
      <c r="F243" s="0" t="n">
        <f aca="false">D243+($I$28*C243)</f>
        <v>5.00631710524082</v>
      </c>
    </row>
    <row r="244" customFormat="false" ht="15" hidden="false" customHeight="false" outlineLevel="0" collapsed="false">
      <c r="A244" s="0" t="n">
        <f aca="false">A243+5</f>
        <v>1470</v>
      </c>
      <c r="B244" s="0" t="n">
        <f aca="false">(A244-$B$21)^2</f>
        <v>48400</v>
      </c>
      <c r="C244" s="0" t="n">
        <f aca="false">$B$23*SQRT(1+(1/18)+(B244/$D$21))</f>
        <v>0.0775012217604016</v>
      </c>
      <c r="D244" s="0" t="n">
        <f aca="false">(0.00451*A244)-1.7651</f>
        <v>4.8646</v>
      </c>
      <c r="E244" s="0" t="n">
        <f aca="false">D244-($I$28*C244)</f>
        <v>4.70029740986795</v>
      </c>
      <c r="F244" s="0" t="n">
        <f aca="false">D244+($I$28*C244)</f>
        <v>5.02890259013205</v>
      </c>
    </row>
    <row r="245" customFormat="false" ht="15" hidden="false" customHeight="false" outlineLevel="0" collapsed="false">
      <c r="A245" s="0" t="n">
        <f aca="false">A244+5</f>
        <v>1475</v>
      </c>
      <c r="B245" s="0" t="n">
        <f aca="false">(A245-$B$21)^2</f>
        <v>50625</v>
      </c>
      <c r="C245" s="0" t="n">
        <f aca="false">$B$23*SQRT(1+(1/18)+(B245/$D$21))</f>
        <v>0.0775183409620744</v>
      </c>
      <c r="D245" s="0" t="n">
        <f aca="false">(0.00451*A245)-1.7651</f>
        <v>4.88715</v>
      </c>
      <c r="E245" s="0" t="n">
        <f aca="false">D245-($I$28*C245)</f>
        <v>4.7228111171604</v>
      </c>
      <c r="F245" s="0" t="n">
        <f aca="false">D245+($I$28*C245)</f>
        <v>5.0514888828396</v>
      </c>
    </row>
    <row r="246" customFormat="false" ht="15" hidden="false" customHeight="false" outlineLevel="0" collapsed="false">
      <c r="A246" s="0" t="n">
        <f aca="false">A245+5</f>
        <v>1480</v>
      </c>
      <c r="B246" s="0" t="n">
        <f aca="false">(A246-$B$21)^2</f>
        <v>52900</v>
      </c>
      <c r="C246" s="0" t="n">
        <f aca="false">$B$23*SQRT(1+(1/18)+(B246/$D$21))</f>
        <v>0.0775358409567839</v>
      </c>
      <c r="D246" s="0" t="n">
        <f aca="false">(0.00451*A246)-1.7651</f>
        <v>4.9097</v>
      </c>
      <c r="E246" s="0" t="n">
        <f aca="false">D246-($I$28*C246)</f>
        <v>4.74532401717162</v>
      </c>
      <c r="F246" s="0" t="n">
        <f aca="false">D246+($I$28*C246)</f>
        <v>5.07407598282838</v>
      </c>
    </row>
    <row r="247" customFormat="false" ht="15" hidden="false" customHeight="false" outlineLevel="0" collapsed="false">
      <c r="A247" s="0" t="n">
        <f aca="false">A246+5</f>
        <v>1485</v>
      </c>
      <c r="B247" s="0" t="n">
        <f aca="false">(A247-$B$21)^2</f>
        <v>55225</v>
      </c>
      <c r="C247" s="0" t="n">
        <f aca="false">$B$23*SQRT(1+(1/18)+(B247/$D$21))</f>
        <v>0.0775537214867523</v>
      </c>
      <c r="D247" s="0" t="n">
        <f aca="false">(0.00451*A247)-1.7651</f>
        <v>4.93225</v>
      </c>
      <c r="E247" s="0" t="n">
        <f aca="false">D247-($I$28*C247)</f>
        <v>4.76783611044809</v>
      </c>
      <c r="F247" s="0" t="n">
        <f aca="false">D247+($I$28*C247)</f>
        <v>5.09666388955191</v>
      </c>
    </row>
    <row r="248" customFormat="false" ht="15" hidden="false" customHeight="false" outlineLevel="0" collapsed="false">
      <c r="A248" s="0" t="n">
        <f aca="false">A247+5</f>
        <v>1490</v>
      </c>
      <c r="B248" s="0" t="n">
        <f aca="false">(A248-$B$21)^2</f>
        <v>57600</v>
      </c>
      <c r="C248" s="0" t="n">
        <f aca="false">$B$23*SQRT(1+(1/18)+(B248/$D$21))</f>
        <v>0.0775719822888366</v>
      </c>
      <c r="D248" s="0" t="n">
        <f aca="false">(0.00451*A248)-1.7651</f>
        <v>4.9548</v>
      </c>
      <c r="E248" s="0" t="n">
        <f aca="false">D248-($I$28*C248)</f>
        <v>4.79034739754767</v>
      </c>
      <c r="F248" s="0" t="n">
        <f aca="false">D248+($I$28*C248)</f>
        <v>5.11925260245233</v>
      </c>
    </row>
    <row r="249" customFormat="false" ht="15" hidden="false" customHeight="false" outlineLevel="0" collapsed="false">
      <c r="A249" s="0" t="n">
        <f aca="false">A248+5</f>
        <v>1495</v>
      </c>
      <c r="B249" s="0" t="n">
        <f aca="false">(A249-$B$21)^2</f>
        <v>60025</v>
      </c>
      <c r="C249" s="0" t="n">
        <f aca="false">$B$23*SQRT(1+(1/18)+(B249/$D$21))</f>
        <v>0.077590623094548</v>
      </c>
      <c r="D249" s="0" t="n">
        <f aca="false">(0.00451*A249)-1.7651</f>
        <v>4.97735</v>
      </c>
      <c r="E249" s="0" t="n">
        <f aca="false">D249-($I$28*C249)</f>
        <v>4.81285787903956</v>
      </c>
      <c r="F249" s="0" t="n">
        <f aca="false">D249+($I$28*C249)</f>
        <v>5.14184212096044</v>
      </c>
    </row>
    <row r="250" customFormat="false" ht="15" hidden="false" customHeight="false" outlineLevel="0" collapsed="false">
      <c r="A250" s="0" t="n">
        <f aca="false">A249+5</f>
        <v>1500</v>
      </c>
      <c r="B250" s="0" t="n">
        <f aca="false">(A250-$B$21)^2</f>
        <v>62500</v>
      </c>
      <c r="C250" s="0" t="n">
        <f aca="false">$B$23*SQRT(1+(1/18)+(B250/$D$21))</f>
        <v>0.0776096436300709</v>
      </c>
      <c r="D250" s="0" t="n">
        <f aca="false">(0.00451*A250)-1.7651</f>
        <v>4.9999</v>
      </c>
      <c r="E250" s="0" t="n">
        <f aca="false">D250-($I$28*C250)</f>
        <v>4.83536755550425</v>
      </c>
      <c r="F250" s="0" t="n">
        <f aca="false">D250+($I$28*C250)</f>
        <v>5.16443244449575</v>
      </c>
    </row>
    <row r="251" customFormat="false" ht="15" hidden="false" customHeight="false" outlineLevel="0" collapsed="false">
      <c r="A251" s="0" t="n">
        <f aca="false">A250+5</f>
        <v>1505</v>
      </c>
      <c r="B251" s="0" t="n">
        <f aca="false">(A251-$B$21)^2</f>
        <v>65025</v>
      </c>
      <c r="C251" s="0" t="n">
        <f aca="false">$B$23*SQRT(1+(1/18)+(B251/$D$21))</f>
        <v>0.0776290436162832</v>
      </c>
      <c r="D251" s="0" t="n">
        <f aca="false">(0.00451*A251)-1.7651</f>
        <v>5.02245</v>
      </c>
      <c r="E251" s="0" t="n">
        <f aca="false">D251-($I$28*C251)</f>
        <v>4.85787642753348</v>
      </c>
      <c r="F251" s="0" t="n">
        <f aca="false">D251+($I$28*C251)</f>
        <v>5.18702357246652</v>
      </c>
    </row>
    <row r="252" customFormat="false" ht="15" hidden="false" customHeight="false" outlineLevel="0" collapsed="false">
      <c r="A252" s="0" t="n">
        <f aca="false">A251+5</f>
        <v>1510</v>
      </c>
      <c r="B252" s="0" t="n">
        <f aca="false">(A252-$B$21)^2</f>
        <v>67600</v>
      </c>
      <c r="C252" s="0" t="n">
        <f aca="false">$B$23*SQRT(1+(1/18)+(B252/$D$21))</f>
        <v>0.0776488227687759</v>
      </c>
      <c r="D252" s="0" t="n">
        <f aca="false">(0.00451*A252)-1.7651</f>
        <v>5.045</v>
      </c>
      <c r="E252" s="0" t="n">
        <f aca="false">D252-($I$28*C252)</f>
        <v>4.8803844957302</v>
      </c>
      <c r="F252" s="0" t="n">
        <f aca="false">D252+($I$28*C252)</f>
        <v>5.20961550426981</v>
      </c>
    </row>
    <row r="253" customFormat="false" ht="15" hidden="false" customHeight="false" outlineLevel="0" collapsed="false">
      <c r="A253" s="0" t="n">
        <f aca="false">A252+5</f>
        <v>1515</v>
      </c>
      <c r="B253" s="0" t="n">
        <f aca="false">(A253-$B$21)^2</f>
        <v>70225</v>
      </c>
      <c r="C253" s="0" t="n">
        <f aca="false">$B$23*SQRT(1+(1/18)+(B253/$D$21))</f>
        <v>0.0776689807978741</v>
      </c>
      <c r="D253" s="0" t="n">
        <f aca="false">(0.00451*A253)-1.7651</f>
        <v>5.06755</v>
      </c>
      <c r="E253" s="0" t="n">
        <f aca="false">D253-($I$28*C253)</f>
        <v>4.90289176070851</v>
      </c>
      <c r="F253" s="0" t="n">
        <f aca="false">D253+($I$28*C253)</f>
        <v>5.23220823929149</v>
      </c>
    </row>
    <row r="254" customFormat="false" ht="15" hidden="false" customHeight="false" outlineLevel="0" collapsed="false">
      <c r="A254" s="0" t="n">
        <f aca="false">A253+5</f>
        <v>1520</v>
      </c>
      <c r="B254" s="0" t="n">
        <f aca="false">(A254-$B$21)^2</f>
        <v>72900</v>
      </c>
      <c r="C254" s="0" t="n">
        <f aca="false">$B$23*SQRT(1+(1/18)+(B254/$D$21))</f>
        <v>0.0776895174086575</v>
      </c>
      <c r="D254" s="0" t="n">
        <f aca="false">(0.00451*A254)-1.7651</f>
        <v>5.0901</v>
      </c>
      <c r="E254" s="0" t="n">
        <f aca="false">D254-($I$28*C254)</f>
        <v>4.92539822309365</v>
      </c>
      <c r="F254" s="0" t="n">
        <f aca="false">D254+($I$28*C254)</f>
        <v>5.25480177690635</v>
      </c>
    </row>
    <row r="255" customFormat="false" ht="15" hidden="false" customHeight="false" outlineLevel="0" collapsed="false">
      <c r="A255" s="0" t="n">
        <f aca="false">A254+5</f>
        <v>1525</v>
      </c>
      <c r="B255" s="0" t="n">
        <f aca="false">(A255-$B$21)^2</f>
        <v>75625</v>
      </c>
      <c r="C255" s="0" t="n">
        <f aca="false">$B$23*SQRT(1+(1/18)+(B255/$D$21))</f>
        <v>0.0777104323009815</v>
      </c>
      <c r="D255" s="0" t="n">
        <f aca="false">(0.00451*A255)-1.7651</f>
        <v>5.11265</v>
      </c>
      <c r="E255" s="0" t="n">
        <f aca="false">D255-($I$28*C255)</f>
        <v>4.94790388352192</v>
      </c>
      <c r="F255" s="0" t="n">
        <f aca="false">D255+($I$28*C255)</f>
        <v>5.27739611647808</v>
      </c>
    </row>
    <row r="256" customFormat="false" ht="15" hidden="false" customHeight="false" outlineLevel="0" collapsed="false">
      <c r="A256" s="0" t="n">
        <f aca="false">A255+5</f>
        <v>1530</v>
      </c>
      <c r="B256" s="0" t="n">
        <f aca="false">(A256-$B$21)^2</f>
        <v>78400</v>
      </c>
      <c r="C256" s="0" t="n">
        <f aca="false">$B$23*SQRT(1+(1/18)+(B256/$D$21))</f>
        <v>0.0777317251694992</v>
      </c>
      <c r="D256" s="0" t="n">
        <f aca="false">(0.00451*A256)-1.7651</f>
        <v>5.1352</v>
      </c>
      <c r="E256" s="0" t="n">
        <f aca="false">D256-($I$28*C256)</f>
        <v>4.97040874264066</v>
      </c>
      <c r="F256" s="0" t="n">
        <f aca="false">D256+($I$28*C256)</f>
        <v>5.29999125735934</v>
      </c>
    </row>
    <row r="257" customFormat="false" ht="15" hidden="false" customHeight="false" outlineLevel="0" collapsed="false">
      <c r="A257" s="0" t="n">
        <f aca="false">A256+5</f>
        <v>1535</v>
      </c>
      <c r="B257" s="0" t="n">
        <f aca="false">(A257-$B$21)^2</f>
        <v>81225</v>
      </c>
      <c r="C257" s="0" t="n">
        <f aca="false">$B$23*SQRT(1+(1/18)+(B257/$D$21))</f>
        <v>0.0777533957036827</v>
      </c>
      <c r="D257" s="0" t="n">
        <f aca="false">(0.00451*A257)-1.7651</f>
        <v>5.15775</v>
      </c>
      <c r="E257" s="0" t="n">
        <f aca="false">D257-($I$28*C257)</f>
        <v>4.99291280110819</v>
      </c>
      <c r="F257" s="0" t="n">
        <f aca="false">D257+($I$28*C257)</f>
        <v>5.32258719889181</v>
      </c>
    </row>
    <row r="258" customFormat="false" ht="15" hidden="false" customHeight="false" outlineLevel="0" collapsed="false">
      <c r="A258" s="0" t="n">
        <f aca="false">A257+5</f>
        <v>1540</v>
      </c>
      <c r="B258" s="0" t="n">
        <f aca="false">(A258-$B$21)^2</f>
        <v>84100</v>
      </c>
      <c r="C258" s="0" t="n">
        <f aca="false">$B$23*SQRT(1+(1/18)+(B258/$D$21))</f>
        <v>0.0777754435878457</v>
      </c>
      <c r="D258" s="0" t="n">
        <f aca="false">(0.00451*A258)-1.7651</f>
        <v>5.1803</v>
      </c>
      <c r="E258" s="0" t="n">
        <f aca="false">D258-($I$28*C258)</f>
        <v>5.01541605959377</v>
      </c>
      <c r="F258" s="0" t="n">
        <f aca="false">D258+($I$28*C258)</f>
        <v>5.34518394040623</v>
      </c>
    </row>
    <row r="259" customFormat="false" ht="15" hidden="false" customHeight="false" outlineLevel="0" collapsed="false">
      <c r="A259" s="0" t="n">
        <f aca="false">A258+5</f>
        <v>1545</v>
      </c>
      <c r="B259" s="0" t="n">
        <f aca="false">(A259-$B$21)^2</f>
        <v>87025</v>
      </c>
      <c r="C259" s="0" t="n">
        <f aca="false">$B$23*SQRT(1+(1/18)+(B259/$D$21))</f>
        <v>0.0777978685011655</v>
      </c>
      <c r="D259" s="0" t="n">
        <f aca="false">(0.00451*A259)-1.7651</f>
        <v>5.20285</v>
      </c>
      <c r="E259" s="0" t="n">
        <f aca="false">D259-($I$28*C259)</f>
        <v>5.03791851877753</v>
      </c>
      <c r="F259" s="0" t="n">
        <f aca="false">D259+($I$28*C259)</f>
        <v>5.36778148122247</v>
      </c>
    </row>
    <row r="260" customFormat="false" ht="15" hidden="false" customHeight="false" outlineLevel="0" collapsed="false">
      <c r="A260" s="0" t="n">
        <f aca="false">A259+5</f>
        <v>1550</v>
      </c>
      <c r="B260" s="0" t="n">
        <f aca="false">(A260-$B$21)^2</f>
        <v>90000</v>
      </c>
      <c r="C260" s="0" t="n">
        <f aca="false">$B$23*SQRT(1+(1/18)+(B260/$D$21))</f>
        <v>0.0778206701177066</v>
      </c>
      <c r="D260" s="0" t="n">
        <f aca="false">(0.00451*A260)-1.7651</f>
        <v>5.2254</v>
      </c>
      <c r="E260" s="0" t="n">
        <f aca="false">D260-($I$28*C260)</f>
        <v>5.06042017935046</v>
      </c>
      <c r="F260" s="0" t="n">
        <f aca="false">D260+($I$28*C260)</f>
        <v>5.39037982064954</v>
      </c>
    </row>
    <row r="261" customFormat="false" ht="15" hidden="false" customHeight="false" outlineLevel="0" collapsed="false">
      <c r="A261" s="0" t="n">
        <f aca="false">A260+5</f>
        <v>1555</v>
      </c>
      <c r="B261" s="0" t="n">
        <f aca="false">(A261-$B$21)^2</f>
        <v>93025</v>
      </c>
      <c r="C261" s="0" t="n">
        <f aca="false">$B$23*SQRT(1+(1/18)+(B261/$D$21))</f>
        <v>0.0778438481064429</v>
      </c>
      <c r="D261" s="0" t="n">
        <f aca="false">(0.00451*A261)-1.7651</f>
        <v>5.24795</v>
      </c>
      <c r="E261" s="0" t="n">
        <f aca="false">D261-($I$28*C261)</f>
        <v>5.08292104201434</v>
      </c>
      <c r="F261" s="0" t="n">
        <f aca="false">D261+($I$28*C261)</f>
        <v>5.41297895798566</v>
      </c>
    </row>
    <row r="262" customFormat="false" ht="15" hidden="false" customHeight="false" outlineLevel="0" collapsed="false">
      <c r="A262" s="0" t="n">
        <f aca="false">A261+5</f>
        <v>1560</v>
      </c>
      <c r="B262" s="0" t="n">
        <f aca="false">(A262-$B$21)^2</f>
        <v>96100</v>
      </c>
      <c r="C262" s="0" t="n">
        <f aca="false">$B$23*SQRT(1+(1/18)+(B262/$D$21))</f>
        <v>0.0778674021312821</v>
      </c>
      <c r="D262" s="0" t="n">
        <f aca="false">(0.00451*A262)-1.7651</f>
        <v>5.2705</v>
      </c>
      <c r="E262" s="0" t="n">
        <f aca="false">D262-($I$28*C262)</f>
        <v>5.10542110748168</v>
      </c>
      <c r="F262" s="0" t="n">
        <f aca="false">D262+($I$28*C262)</f>
        <v>5.43557889251832</v>
      </c>
    </row>
    <row r="263" customFormat="false" ht="15" hidden="false" customHeight="false" outlineLevel="0" collapsed="false">
      <c r="A263" s="0" t="n">
        <f aca="false">A262+5</f>
        <v>1565</v>
      </c>
      <c r="B263" s="0" t="n">
        <f aca="false">(A263-$B$21)^2</f>
        <v>99225</v>
      </c>
      <c r="C263" s="0" t="n">
        <f aca="false">$B$23*SQRT(1+(1/18)+(B263/$D$21))</f>
        <v>0.0778913318510887</v>
      </c>
      <c r="D263" s="0" t="n">
        <f aca="false">(0.00451*A263)-1.7651</f>
        <v>5.29305</v>
      </c>
      <c r="E263" s="0" t="n">
        <f aca="false">D263-($I$28*C263)</f>
        <v>5.12792037647569</v>
      </c>
      <c r="F263" s="0" t="n">
        <f aca="false">D263+($I$28*C263)</f>
        <v>5.45817962352431</v>
      </c>
    </row>
    <row r="264" customFormat="false" ht="15" hidden="false" customHeight="false" outlineLevel="0" collapsed="false">
      <c r="A264" s="0" t="n">
        <f aca="false">A263+5</f>
        <v>1570</v>
      </c>
      <c r="B264" s="0" t="n">
        <f aca="false">(A264-$B$21)^2</f>
        <v>102400</v>
      </c>
      <c r="C264" s="0" t="n">
        <f aca="false">$B$23*SQRT(1+(1/18)+(B264/$D$21))</f>
        <v>0.0779156369197085</v>
      </c>
      <c r="D264" s="0" t="n">
        <f aca="false">(0.00451*A264)-1.7651</f>
        <v>5.3156</v>
      </c>
      <c r="E264" s="0" t="n">
        <f aca="false">D264-($I$28*C264)</f>
        <v>5.15041884973022</v>
      </c>
      <c r="F264" s="0" t="n">
        <f aca="false">D264+($I$28*C264)</f>
        <v>5.48078115026978</v>
      </c>
    </row>
    <row r="265" customFormat="false" ht="15" hidden="false" customHeight="false" outlineLevel="0" collapsed="false">
      <c r="A265" s="0" t="n">
        <f aca="false">A264+5</f>
        <v>1575</v>
      </c>
      <c r="B265" s="0" t="n">
        <f aca="false">(A265-$B$21)^2</f>
        <v>105625</v>
      </c>
      <c r="C265" s="0" t="n">
        <f aca="false">$B$23*SQRT(1+(1/18)+(B265/$D$21))</f>
        <v>0.0779403169859928</v>
      </c>
      <c r="D265" s="0" t="n">
        <f aca="false">(0.00451*A265)-1.7651</f>
        <v>5.33815</v>
      </c>
      <c r="E265" s="0" t="n">
        <f aca="false">D265-($I$28*C265)</f>
        <v>5.1729165279897</v>
      </c>
      <c r="F265" s="0" t="n">
        <f aca="false">D265+($I$28*C265)</f>
        <v>5.50338347201031</v>
      </c>
    </row>
    <row r="266" customFormat="false" ht="15" hidden="false" customHeight="false" outlineLevel="0" collapsed="false">
      <c r="A266" s="0" t="n">
        <f aca="false">A265+5</f>
        <v>1580</v>
      </c>
      <c r="B266" s="0" t="n">
        <f aca="false">(A266-$B$21)^2</f>
        <v>108900</v>
      </c>
      <c r="C266" s="0" t="n">
        <f aca="false">$B$23*SQRT(1+(1/18)+(B266/$D$21))</f>
        <v>0.0779653716938233</v>
      </c>
      <c r="D266" s="0" t="n">
        <f aca="false">(0.00451*A266)-1.7651</f>
        <v>5.3607</v>
      </c>
      <c r="E266" s="0" t="n">
        <f aca="false">D266-($I$28*C266)</f>
        <v>5.19541341200909</v>
      </c>
      <c r="F266" s="0" t="n">
        <f aca="false">D266+($I$28*C266)</f>
        <v>5.52598658799091</v>
      </c>
    </row>
    <row r="267" customFormat="false" ht="15" hidden="false" customHeight="false" outlineLevel="0" collapsed="false">
      <c r="A267" s="0" t="n">
        <f aca="false">A266+5</f>
        <v>1585</v>
      </c>
      <c r="B267" s="0" t="n">
        <f aca="false">(A267-$B$21)^2</f>
        <v>112225</v>
      </c>
      <c r="C267" s="0" t="n">
        <f aca="false">$B$23*SQRT(1+(1/18)+(B267/$D$21))</f>
        <v>0.0779908006821368</v>
      </c>
      <c r="D267" s="0" t="n">
        <f aca="false">(0.00451*A267)-1.7651</f>
        <v>5.38325</v>
      </c>
      <c r="E267" s="0" t="n">
        <f aca="false">D267-($I$28*C267)</f>
        <v>5.21790950255387</v>
      </c>
      <c r="F267" s="0" t="n">
        <f aca="false">D267+($I$28*C267)</f>
        <v>5.54859049744613</v>
      </c>
    </row>
    <row r="268" customFormat="false" ht="15" hidden="false" customHeight="false" outlineLevel="0" collapsed="false">
      <c r="A268" s="0" t="n">
        <f aca="false">A267+5</f>
        <v>1590</v>
      </c>
      <c r="B268" s="0" t="n">
        <f aca="false">(A268-$B$21)^2</f>
        <v>115600</v>
      </c>
      <c r="C268" s="0" t="n">
        <f aca="false">$B$23*SQRT(1+(1/18)+(B268/$D$21))</f>
        <v>0.0780166035849507</v>
      </c>
      <c r="D268" s="0" t="n">
        <f aca="false">(0.00451*A268)-1.7651</f>
        <v>5.4058</v>
      </c>
      <c r="E268" s="0" t="n">
        <f aca="false">D268-($I$28*C268)</f>
        <v>5.24040480039991</v>
      </c>
      <c r="F268" s="0" t="n">
        <f aca="false">D268+($I$28*C268)</f>
        <v>5.5711951996001</v>
      </c>
    </row>
    <row r="269" customFormat="false" ht="15" hidden="false" customHeight="false" outlineLevel="0" collapsed="false">
      <c r="A269" s="0" t="n">
        <f aca="false">A268+5</f>
        <v>1595</v>
      </c>
      <c r="B269" s="0" t="n">
        <f aca="false">(A269-$B$21)^2</f>
        <v>119025</v>
      </c>
      <c r="C269" s="0" t="n">
        <f aca="false">$B$23*SQRT(1+(1/18)+(B269/$D$21))</f>
        <v>0.0780427800313885</v>
      </c>
      <c r="D269" s="0" t="n">
        <f aca="false">(0.00451*A269)-1.7651</f>
        <v>5.42835</v>
      </c>
      <c r="E269" s="0" t="n">
        <f aca="false">D269-($I$28*C269)</f>
        <v>5.26289930633346</v>
      </c>
      <c r="F269" s="0" t="n">
        <f aca="false">D269+($I$28*C269)</f>
        <v>5.59380069366654</v>
      </c>
    </row>
    <row r="270" customFormat="false" ht="15" hidden="false" customHeight="false" outlineLevel="0" collapsed="false">
      <c r="A270" s="0" t="n">
        <f aca="false">A269+5</f>
        <v>1600</v>
      </c>
      <c r="B270" s="0" t="n">
        <f aca="false">(A270-$B$21)^2</f>
        <v>122500</v>
      </c>
      <c r="C270" s="0" t="n">
        <f aca="false">$B$23*SQRT(1+(1/18)+(B270/$D$21))</f>
        <v>0.0780693296457054</v>
      </c>
      <c r="D270" s="0" t="n">
        <f aca="false">(0.00451*A270)-1.7651</f>
        <v>5.4509</v>
      </c>
      <c r="E270" s="0" t="n">
        <f aca="false">D270-($I$28*C270)</f>
        <v>5.28539302115111</v>
      </c>
      <c r="F270" s="0" t="n">
        <f aca="false">D270+($I$28*C270)</f>
        <v>5.6164069788489</v>
      </c>
    </row>
    <row r="271" customFormat="false" ht="15" hidden="false" customHeight="false" outlineLevel="0" collapsed="false">
      <c r="A271" s="0" t="n">
        <f aca="false">A270+5</f>
        <v>1605</v>
      </c>
      <c r="B271" s="0" t="n">
        <f aca="false">(A271-$B$21)^2</f>
        <v>126025</v>
      </c>
      <c r="C271" s="0" t="n">
        <f aca="false">$B$23*SQRT(1+(1/18)+(B271/$D$21))</f>
        <v>0.0780962520473148</v>
      </c>
      <c r="D271" s="0" t="n">
        <f aca="false">(0.00451*A271)-1.7651</f>
        <v>5.47345</v>
      </c>
      <c r="E271" s="0" t="n">
        <f aca="false">D271-($I$28*C271)</f>
        <v>5.30788594565969</v>
      </c>
      <c r="F271" s="0" t="n">
        <f aca="false">D271+($I$28*C271)</f>
        <v>5.63901405434031</v>
      </c>
    </row>
    <row r="272" customFormat="false" ht="15" hidden="false" customHeight="false" outlineLevel="0" collapsed="false">
      <c r="A272" s="0" t="n">
        <f aca="false">A271+5</f>
        <v>1610</v>
      </c>
      <c r="B272" s="0" t="n">
        <f aca="false">(A272-$B$21)^2</f>
        <v>129600</v>
      </c>
      <c r="C272" s="0" t="n">
        <f aca="false">$B$23*SQRT(1+(1/18)+(B272/$D$21))</f>
        <v>0.0781235468508146</v>
      </c>
      <c r="D272" s="0" t="n">
        <f aca="false">(0.00451*A272)-1.7651</f>
        <v>5.496</v>
      </c>
      <c r="E272" s="0" t="n">
        <f aca="false">D272-($I$28*C272)</f>
        <v>5.33037808067627</v>
      </c>
      <c r="F272" s="0" t="n">
        <f aca="false">D272+($I$28*C272)</f>
        <v>5.66162191932373</v>
      </c>
    </row>
    <row r="273" customFormat="false" ht="15" hidden="false" customHeight="false" outlineLevel="0" collapsed="false">
      <c r="A273" s="0" t="n">
        <f aca="false">A272+5</f>
        <v>1615</v>
      </c>
      <c r="B273" s="0" t="n">
        <f aca="false">(A273-$B$21)^2</f>
        <v>133225</v>
      </c>
      <c r="C273" s="0" t="n">
        <f aca="false">$B$23*SQRT(1+(1/18)+(B273/$D$21))</f>
        <v>0.0781512136660136</v>
      </c>
      <c r="D273" s="0" t="n">
        <f aca="false">(0.00451*A273)-1.7651</f>
        <v>5.51855</v>
      </c>
      <c r="E273" s="0" t="n">
        <f aca="false">D273-($I$28*C273)</f>
        <v>5.35286942702805</v>
      </c>
      <c r="F273" s="0" t="n">
        <f aca="false">D273+($I$28*C273)</f>
        <v>5.68423057297195</v>
      </c>
    </row>
    <row r="274" customFormat="false" ht="15" hidden="false" customHeight="false" outlineLevel="0" collapsed="false">
      <c r="A274" s="0" t="n">
        <f aca="false">A273+5</f>
        <v>1620</v>
      </c>
      <c r="B274" s="0" t="n">
        <f aca="false">(A274-$B$21)^2</f>
        <v>136900</v>
      </c>
      <c r="C274" s="0" t="n">
        <f aca="false">$B$23*SQRT(1+(1/18)+(B274/$D$21))</f>
        <v>0.0781792520979587</v>
      </c>
      <c r="D274" s="0" t="n">
        <f aca="false">(0.00451*A274)-1.7651</f>
        <v>5.5411</v>
      </c>
      <c r="E274" s="0" t="n">
        <f aca="false">D274-($I$28*C274)</f>
        <v>5.37535998555233</v>
      </c>
      <c r="F274" s="0" t="n">
        <f aca="false">D274+($I$28*C274)</f>
        <v>5.70684001444767</v>
      </c>
    </row>
    <row r="275" customFormat="false" ht="15" hidden="false" customHeight="false" outlineLevel="0" collapsed="false">
      <c r="A275" s="0" t="n">
        <f aca="false">A274+5</f>
        <v>1625</v>
      </c>
      <c r="B275" s="0" t="n">
        <f aca="false">(A275-$B$21)^2</f>
        <v>140625</v>
      </c>
      <c r="C275" s="0" t="n">
        <f aca="false">$B$23*SQRT(1+(1/18)+(B275/$D$21))</f>
        <v>0.0782076617469621</v>
      </c>
      <c r="D275" s="0" t="n">
        <f aca="false">(0.00451*A275)-1.7651</f>
        <v>5.56365</v>
      </c>
      <c r="E275" s="0" t="n">
        <f aca="false">D275-($I$28*C275)</f>
        <v>5.39784975709644</v>
      </c>
      <c r="F275" s="0" t="n">
        <f aca="false">D275+($I$28*C275)</f>
        <v>5.72945024290356</v>
      </c>
    </row>
    <row r="276" customFormat="false" ht="15" hidden="false" customHeight="false" outlineLevel="0" collapsed="false">
      <c r="A276" s="0" t="n">
        <f aca="false">A275+5</f>
        <v>1630</v>
      </c>
      <c r="B276" s="0" t="n">
        <f aca="false">(A276-$B$21)^2</f>
        <v>144400</v>
      </c>
      <c r="C276" s="0" t="n">
        <f aca="false">$B$23*SQRT(1+(1/18)+(B276/$D$21))</f>
        <v>0.0782364422086286</v>
      </c>
      <c r="D276" s="0" t="n">
        <f aca="false">(0.00451*A276)-1.7651</f>
        <v>5.5862</v>
      </c>
      <c r="E276" s="0" t="n">
        <f aca="false">D276-($I$28*C276)</f>
        <v>5.42033874251771</v>
      </c>
      <c r="F276" s="0" t="n">
        <f aca="false">D276+($I$28*C276)</f>
        <v>5.75206125748229</v>
      </c>
    </row>
    <row r="277" customFormat="false" ht="15" hidden="false" customHeight="false" outlineLevel="0" collapsed="false">
      <c r="A277" s="0" t="n">
        <f aca="false">A276+5</f>
        <v>1635</v>
      </c>
      <c r="B277" s="0" t="n">
        <f aca="false">(A277-$B$21)^2</f>
        <v>148225</v>
      </c>
      <c r="C277" s="0" t="n">
        <f aca="false">$B$23*SQRT(1+(1/18)+(B277/$D$21))</f>
        <v>0.0782655930738835</v>
      </c>
      <c r="D277" s="0" t="n">
        <f aca="false">(0.00451*A277)-1.7651</f>
        <v>5.60875</v>
      </c>
      <c r="E277" s="0" t="n">
        <f aca="false">D277-($I$28*C277)</f>
        <v>5.44282694268337</v>
      </c>
      <c r="F277" s="0" t="n">
        <f aca="false">D277+($I$28*C277)</f>
        <v>5.77467305731663</v>
      </c>
    </row>
    <row r="278" customFormat="false" ht="15" hidden="false" customHeight="false" outlineLevel="0" collapsed="false">
      <c r="A278" s="0" t="n">
        <f aca="false">A277+5</f>
        <v>1640</v>
      </c>
      <c r="B278" s="0" t="n">
        <f aca="false">(A278-$B$21)^2</f>
        <v>152100</v>
      </c>
      <c r="C278" s="0" t="n">
        <f aca="false">$B$23*SQRT(1+(1/18)+(B278/$D$21))</f>
        <v>0.0782951139290002</v>
      </c>
      <c r="D278" s="0" t="n">
        <f aca="false">(0.00451*A278)-1.7651</f>
        <v>5.6313</v>
      </c>
      <c r="E278" s="0" t="n">
        <f aca="false">D278-($I$28*C278)</f>
        <v>5.46531435847052</v>
      </c>
      <c r="F278" s="0" t="n">
        <f aca="false">D278+($I$28*C278)</f>
        <v>5.79728564152948</v>
      </c>
    </row>
    <row r="279" customFormat="false" ht="15" hidden="false" customHeight="false" outlineLevel="0" collapsed="false">
      <c r="A279" s="0" t="n">
        <f aca="false">A278+5</f>
        <v>1645</v>
      </c>
      <c r="B279" s="0" t="n">
        <f aca="false">(A279-$B$21)^2</f>
        <v>156025</v>
      </c>
      <c r="C279" s="0" t="n">
        <f aca="false">$B$23*SQRT(1+(1/18)+(B279/$D$21))</f>
        <v>0.0783250043556292</v>
      </c>
      <c r="D279" s="0" t="n">
        <f aca="false">(0.00451*A279)-1.7651</f>
        <v>5.65385</v>
      </c>
      <c r="E279" s="0" t="n">
        <f aca="false">D279-($I$28*C279)</f>
        <v>5.48780099076607</v>
      </c>
      <c r="F279" s="0" t="n">
        <f aca="false">D279+($I$28*C279)</f>
        <v>5.81989900923393</v>
      </c>
    </row>
    <row r="280" customFormat="false" ht="15" hidden="false" customHeight="false" outlineLevel="0" collapsed="false">
      <c r="A280" s="0" t="n">
        <f aca="false">A279+5</f>
        <v>1650</v>
      </c>
      <c r="B280" s="0" t="n">
        <f aca="false">(A280-$B$21)^2</f>
        <v>160000</v>
      </c>
      <c r="C280" s="0" t="n">
        <f aca="false">$B$23*SQRT(1+(1/18)+(B280/$D$21))</f>
        <v>0.0783552639308255</v>
      </c>
      <c r="D280" s="0" t="n">
        <f aca="false">(0.00451*A280)-1.7651</f>
        <v>5.6764</v>
      </c>
      <c r="E280" s="0" t="n">
        <f aca="false">D280-($I$28*C280)</f>
        <v>5.51028684046665</v>
      </c>
      <c r="F280" s="0" t="n">
        <f aca="false">D280+($I$28*C280)</f>
        <v>5.84251315953335</v>
      </c>
    </row>
    <row r="281" customFormat="false" ht="15" hidden="false" customHeight="false" outlineLevel="0" collapsed="false">
      <c r="A281" s="0" t="n">
        <f aca="false">A280+5</f>
        <v>1655</v>
      </c>
      <c r="B281" s="0" t="n">
        <f aca="false">(A281-$B$21)^2</f>
        <v>164025</v>
      </c>
      <c r="C281" s="0" t="n">
        <f aca="false">$B$23*SQRT(1+(1/18)+(B281/$D$21))</f>
        <v>0.078385892227078</v>
      </c>
      <c r="D281" s="0" t="n">
        <f aca="false">(0.00451*A281)-1.7651</f>
        <v>5.69895</v>
      </c>
      <c r="E281" s="0" t="n">
        <f aca="false">D281-($I$28*C281)</f>
        <v>5.5327719084786</v>
      </c>
      <c r="F281" s="0" t="n">
        <f aca="false">D281+($I$28*C281)</f>
        <v>5.86512809152141</v>
      </c>
    </row>
    <row r="282" customFormat="false" ht="15" hidden="false" customHeight="false" outlineLevel="0" collapsed="false">
      <c r="A282" s="0" t="n">
        <f aca="false">A281+5</f>
        <v>1660</v>
      </c>
      <c r="B282" s="0" t="n">
        <f aca="false">(A282-$B$21)^2</f>
        <v>168100</v>
      </c>
      <c r="C282" s="0" t="n">
        <f aca="false">$B$23*SQRT(1+(1/18)+(B282/$D$21))</f>
        <v>0.0784168888123385</v>
      </c>
      <c r="D282" s="0" t="n">
        <f aca="false">(0.00451*A282)-1.7651</f>
        <v>5.7215</v>
      </c>
      <c r="E282" s="0" t="n">
        <f aca="false">D282-($I$28*C282)</f>
        <v>5.55525619571784</v>
      </c>
      <c r="F282" s="0" t="n">
        <f aca="false">D282+($I$28*C282)</f>
        <v>5.88774380428216</v>
      </c>
    </row>
    <row r="283" customFormat="false" ht="15" hidden="false" customHeight="false" outlineLevel="0" collapsed="false">
      <c r="A283" s="0" t="n">
        <f aca="false">A282+5</f>
        <v>1665</v>
      </c>
      <c r="B283" s="0" t="n">
        <f aca="false">(A283-$B$21)^2</f>
        <v>172225</v>
      </c>
      <c r="C283" s="0" t="n">
        <f aca="false">$B$23*SQRT(1+(1/18)+(B283/$D$21))</f>
        <v>0.0784482532500501</v>
      </c>
      <c r="D283" s="0" t="n">
        <f aca="false">(0.00451*A283)-1.7651</f>
        <v>5.74405</v>
      </c>
      <c r="E283" s="0" t="n">
        <f aca="false">D283-($I$28*C283)</f>
        <v>5.57773970310989</v>
      </c>
      <c r="F283" s="0" t="n">
        <f aca="false">D283+($I$28*C283)</f>
        <v>5.91036029689011</v>
      </c>
    </row>
    <row r="284" customFormat="false" ht="15" hidden="false" customHeight="false" outlineLevel="0" collapsed="false">
      <c r="A284" s="0" t="n">
        <f aca="false">A283+5</f>
        <v>1670</v>
      </c>
      <c r="B284" s="0" t="n">
        <f aca="false">(A284-$B$21)^2</f>
        <v>176400</v>
      </c>
      <c r="C284" s="0" t="n">
        <f aca="false">$B$23*SQRT(1+(1/18)+(B284/$D$21))</f>
        <v>0.0784799850991775</v>
      </c>
      <c r="D284" s="0" t="n">
        <f aca="false">(0.00451*A284)-1.7651</f>
        <v>5.7666</v>
      </c>
      <c r="E284" s="0" t="n">
        <f aca="false">D284-($I$28*C284)</f>
        <v>5.60022243158974</v>
      </c>
      <c r="F284" s="0" t="n">
        <f aca="false">D284+($I$28*C284)</f>
        <v>5.93297756841026</v>
      </c>
    </row>
    <row r="285" customFormat="false" ht="15" hidden="false" customHeight="false" outlineLevel="0" collapsed="false">
      <c r="A285" s="0" t="n">
        <f aca="false">A284+5</f>
        <v>1675</v>
      </c>
      <c r="B285" s="0" t="n">
        <f aca="false">(A285-$B$21)^2</f>
        <v>180625</v>
      </c>
      <c r="C285" s="0" t="n">
        <f aca="false">$B$23*SQRT(1+(1/18)+(B285/$D$21))</f>
        <v>0.078512083914236</v>
      </c>
      <c r="D285" s="0" t="n">
        <f aca="false">(0.00451*A285)-1.7651</f>
        <v>5.78915</v>
      </c>
      <c r="E285" s="0" t="n">
        <f aca="false">D285-($I$28*C285)</f>
        <v>5.62270438210182</v>
      </c>
      <c r="F285" s="0" t="n">
        <f aca="false">D285+($I$28*C285)</f>
        <v>5.95559561789818</v>
      </c>
    </row>
    <row r="286" customFormat="false" ht="15" hidden="false" customHeight="false" outlineLevel="0" collapsed="false">
      <c r="A286" s="0" t="n">
        <f aca="false">A285+5</f>
        <v>1680</v>
      </c>
      <c r="B286" s="0" t="n">
        <f aca="false">(A286-$B$21)^2</f>
        <v>184900</v>
      </c>
      <c r="C286" s="0" t="n">
        <f aca="false">$B$23*SQRT(1+(1/18)+(B286/$D$21))</f>
        <v>0.0785445492453216</v>
      </c>
      <c r="D286" s="0" t="n">
        <f aca="false">(0.00451*A286)-1.7651</f>
        <v>5.8117</v>
      </c>
      <c r="E286" s="0" t="n">
        <f aca="false">D286-($I$28*C286)</f>
        <v>5.64518555559992</v>
      </c>
      <c r="F286" s="0" t="n">
        <f aca="false">D286+($I$28*C286)</f>
        <v>5.97821444440008</v>
      </c>
    </row>
    <row r="287" customFormat="false" ht="15" hidden="false" customHeight="false" outlineLevel="0" collapsed="false">
      <c r="A287" s="0" t="n">
        <f aca="false">A286+5</f>
        <v>1685</v>
      </c>
      <c r="B287" s="0" t="n">
        <f aca="false">(A287-$B$21)^2</f>
        <v>189225</v>
      </c>
      <c r="C287" s="0" t="n">
        <f aca="false">$B$23*SQRT(1+(1/18)+(B287/$D$21))</f>
        <v>0.0785773806381406</v>
      </c>
      <c r="D287" s="0" t="n">
        <f aca="false">(0.00451*A287)-1.7651</f>
        <v>5.83425</v>
      </c>
      <c r="E287" s="0" t="n">
        <f aca="false">D287-($I$28*C287)</f>
        <v>5.66766595304714</v>
      </c>
      <c r="F287" s="0" t="n">
        <f aca="false">D287+($I$28*C287)</f>
        <v>6.00083404695286</v>
      </c>
    </row>
    <row r="288" customFormat="false" ht="15" hidden="false" customHeight="false" outlineLevel="0" collapsed="false">
      <c r="A288" s="0" t="n">
        <f aca="false">A287+5</f>
        <v>1690</v>
      </c>
      <c r="B288" s="0" t="n">
        <f aca="false">(A288-$B$21)^2</f>
        <v>193600</v>
      </c>
      <c r="C288" s="0" t="n">
        <f aca="false">$B$23*SQRT(1+(1/18)+(B288/$D$21))</f>
        <v>0.0786105776340405</v>
      </c>
      <c r="D288" s="0" t="n">
        <f aca="false">(0.00451*A288)-1.7651</f>
        <v>5.8568</v>
      </c>
      <c r="E288" s="0" t="n">
        <f aca="false">D288-($I$28*C288)</f>
        <v>5.69014557541583</v>
      </c>
      <c r="F288" s="0" t="n">
        <f aca="false">D288+($I$28*C288)</f>
        <v>6.02345442458417</v>
      </c>
    </row>
    <row r="289" customFormat="false" ht="15" hidden="false" customHeight="false" outlineLevel="0" collapsed="false">
      <c r="A289" s="0" t="n">
        <f aca="false">A288+5</f>
        <v>1695</v>
      </c>
      <c r="B289" s="0" t="n">
        <f aca="false">(A289-$B$21)^2</f>
        <v>198025</v>
      </c>
      <c r="C289" s="0" t="n">
        <f aca="false">$B$23*SQRT(1+(1/18)+(B289/$D$21))</f>
        <v>0.0786441397700399</v>
      </c>
      <c r="D289" s="0" t="n">
        <f aca="false">(0.00451*A289)-1.7651</f>
        <v>5.87935</v>
      </c>
      <c r="E289" s="0" t="n">
        <f aca="false">D289-($I$28*C289)</f>
        <v>5.71262442368752</v>
      </c>
      <c r="F289" s="0" t="n">
        <f aca="false">D289+($I$28*C289)</f>
        <v>6.04607557631249</v>
      </c>
    </row>
    <row r="290" customFormat="false" ht="15" hidden="false" customHeight="false" outlineLevel="0" collapsed="false">
      <c r="A290" s="0" t="n">
        <f aca="false">A289+5</f>
        <v>1700</v>
      </c>
      <c r="B290" s="0" t="n">
        <f aca="false">(A290-$B$21)^2</f>
        <v>202500</v>
      </c>
      <c r="C290" s="0" t="n">
        <f aca="false">$B$23*SQRT(1+(1/18)+(B290/$D$21))</f>
        <v>0.0786780665788593</v>
      </c>
      <c r="D290" s="0" t="n">
        <f aca="false">(0.00451*A290)-1.7651</f>
        <v>5.9019</v>
      </c>
      <c r="E290" s="0" t="n">
        <f aca="false">D290-($I$28*C290)</f>
        <v>5.73510249885282</v>
      </c>
      <c r="F290" s="0" t="n">
        <f aca="false">D290+($I$28*C290)</f>
        <v>6.06869750114718</v>
      </c>
    </row>
    <row r="291" customFormat="false" ht="15" hidden="false" customHeight="false" outlineLevel="0" collapsed="false">
      <c r="A291" s="0" t="n">
        <f aca="false">A290+5</f>
        <v>1705</v>
      </c>
      <c r="B291" s="0" t="n">
        <f aca="false">(A291-$B$21)^2</f>
        <v>207025</v>
      </c>
      <c r="C291" s="0" t="n">
        <f aca="false">$B$23*SQRT(1+(1/18)+(B291/$D$21))</f>
        <v>0.078712357588952</v>
      </c>
      <c r="D291" s="0" t="n">
        <f aca="false">(0.00451*A291)-1.7651</f>
        <v>5.92445</v>
      </c>
      <c r="E291" s="0" t="n">
        <f aca="false">D291-($I$28*C291)</f>
        <v>5.75757980191142</v>
      </c>
      <c r="F291" s="0" t="n">
        <f aca="false">D291+($I$28*C291)</f>
        <v>6.09132019808858</v>
      </c>
    </row>
    <row r="292" customFormat="false" ht="15" hidden="false" customHeight="false" outlineLevel="0" collapsed="false">
      <c r="A292" s="0" t="n">
        <f aca="false">A291+5</f>
        <v>1710</v>
      </c>
      <c r="B292" s="0" t="n">
        <f aca="false">(A292-$B$21)^2</f>
        <v>211600</v>
      </c>
      <c r="C292" s="0" t="n">
        <f aca="false">$B$23*SQRT(1+(1/18)+(B292/$D$21))</f>
        <v>0.078747012324535</v>
      </c>
      <c r="D292" s="0" t="n">
        <f aca="false">(0.00451*A292)-1.7651</f>
        <v>5.947</v>
      </c>
      <c r="E292" s="0" t="n">
        <f aca="false">D292-($I$28*C292)</f>
        <v>5.78005633387199</v>
      </c>
      <c r="F292" s="0" t="n">
        <f aca="false">D292+($I$28*C292)</f>
        <v>6.11394366612802</v>
      </c>
    </row>
    <row r="293" customFormat="false" ht="15" hidden="false" customHeight="false" outlineLevel="0" collapsed="false">
      <c r="A293" s="0" t="n">
        <f aca="false">A292+5</f>
        <v>1715</v>
      </c>
      <c r="B293" s="0" t="n">
        <f aca="false">(A293-$B$21)^2</f>
        <v>216225</v>
      </c>
      <c r="C293" s="0" t="n">
        <f aca="false">$B$23*SQRT(1+(1/18)+(B293/$D$21))</f>
        <v>0.0787820303056203</v>
      </c>
      <c r="D293" s="0" t="n">
        <f aca="false">(0.00451*A293)-1.7651</f>
        <v>5.96955</v>
      </c>
      <c r="E293" s="0" t="n">
        <f aca="false">D293-($I$28*C293)</f>
        <v>5.80253209575209</v>
      </c>
      <c r="F293" s="0" t="n">
        <f aca="false">D293+($I$28*C293)</f>
        <v>6.13656790424792</v>
      </c>
    </row>
    <row r="294" customFormat="false" ht="15" hidden="false" customHeight="false" outlineLevel="0" collapsed="false">
      <c r="A294" s="0" t="n">
        <f aca="false">A293+5</f>
        <v>1720</v>
      </c>
      <c r="B294" s="0" t="n">
        <f aca="false">(A294-$B$21)^2</f>
        <v>220900</v>
      </c>
      <c r="C294" s="0" t="n">
        <f aca="false">$B$23*SQRT(1+(1/18)+(B294/$D$21))</f>
        <v>0.0788174110480462</v>
      </c>
      <c r="D294" s="0" t="n">
        <f aca="false">(0.00451*A294)-1.7651</f>
        <v>5.9921</v>
      </c>
      <c r="E294" s="0" t="n">
        <f aca="false">D294-($I$28*C294)</f>
        <v>5.82500708857814</v>
      </c>
      <c r="F294" s="0" t="n">
        <f aca="false">D294+($I$28*C294)</f>
        <v>6.15919291142186</v>
      </c>
    </row>
    <row r="295" customFormat="false" ht="15" hidden="false" customHeight="false" outlineLevel="0" collapsed="false">
      <c r="A295" s="0" t="n">
        <f aca="false">A294+5</f>
        <v>1725</v>
      </c>
      <c r="B295" s="0" t="n">
        <f aca="false">(A295-$B$21)^2</f>
        <v>225625</v>
      </c>
      <c r="C295" s="0" t="n">
        <f aca="false">$B$23*SQRT(1+(1/18)+(B295/$D$21))</f>
        <v>0.0788531540635088</v>
      </c>
      <c r="D295" s="0" t="n">
        <f aca="false">(0.00451*A295)-1.7651</f>
        <v>6.01465</v>
      </c>
      <c r="E295" s="0" t="n">
        <f aca="false">D295-($I$28*C295)</f>
        <v>5.84748131338536</v>
      </c>
      <c r="F295" s="0" t="n">
        <f aca="false">D295+($I$28*C295)</f>
        <v>6.18181868661464</v>
      </c>
    </row>
    <row r="296" customFormat="false" ht="15" hidden="false" customHeight="false" outlineLevel="0" collapsed="false">
      <c r="A296" s="0" t="n">
        <f aca="false">A295+5</f>
        <v>1730</v>
      </c>
      <c r="B296" s="0" t="n">
        <f aca="false">(A296-$B$21)^2</f>
        <v>230400</v>
      </c>
      <c r="C296" s="0" t="n">
        <f aca="false">$B$23*SQRT(1+(1/18)+(B296/$D$21))</f>
        <v>0.0788892588595939</v>
      </c>
      <c r="D296" s="0" t="n">
        <f aca="false">(0.00451*A296)-1.7651</f>
        <v>6.0372</v>
      </c>
      <c r="E296" s="0" t="n">
        <f aca="false">D296-($I$28*C296)</f>
        <v>5.86995477121766</v>
      </c>
      <c r="F296" s="0" t="n">
        <f aca="false">D296+($I$28*C296)</f>
        <v>6.20444522878234</v>
      </c>
    </row>
    <row r="297" customFormat="false" ht="15" hidden="false" customHeight="false" outlineLevel="0" collapsed="false">
      <c r="A297" s="0" t="n">
        <f aca="false">A296+5</f>
        <v>1735</v>
      </c>
      <c r="B297" s="0" t="n">
        <f aca="false">(A297-$B$21)^2</f>
        <v>235225</v>
      </c>
      <c r="C297" s="0" t="n">
        <f aca="false">$B$23*SQRT(1+(1/18)+(B297/$D$21))</f>
        <v>0.0789257249398088</v>
      </c>
      <c r="D297" s="0" t="n">
        <f aca="false">(0.00451*A297)-1.7651</f>
        <v>6.05975</v>
      </c>
      <c r="E297" s="0" t="n">
        <f aca="false">D297-($I$28*C297)</f>
        <v>5.89242746312761</v>
      </c>
      <c r="F297" s="0" t="n">
        <f aca="false">D297+($I$28*C297)</f>
        <v>6.2270725368724</v>
      </c>
    </row>
    <row r="298" customFormat="false" ht="15" hidden="false" customHeight="false" outlineLevel="0" collapsed="false">
      <c r="A298" s="0" t="n">
        <f aca="false">A297+5</f>
        <v>1740</v>
      </c>
      <c r="B298" s="0" t="n">
        <f aca="false">(A298-$B$21)^2</f>
        <v>240100</v>
      </c>
      <c r="C298" s="0" t="n">
        <f aca="false">$B$23*SQRT(1+(1/18)+(B298/$D$21))</f>
        <v>0.0789625518036145</v>
      </c>
      <c r="D298" s="0" t="n">
        <f aca="false">(0.00451*A298)-1.7651</f>
        <v>6.0823</v>
      </c>
      <c r="E298" s="0" t="n">
        <f aca="false">D298-($I$28*C298)</f>
        <v>5.91489939017634</v>
      </c>
      <c r="F298" s="0" t="n">
        <f aca="false">D298+($I$28*C298)</f>
        <v>6.24970060982366</v>
      </c>
    </row>
    <row r="299" customFormat="false" ht="15" hidden="false" customHeight="false" outlineLevel="0" collapsed="false">
      <c r="A299" s="0" t="n">
        <f aca="false">A298+5</f>
        <v>1745</v>
      </c>
      <c r="B299" s="0" t="n">
        <f aca="false">(A299-$B$21)^2</f>
        <v>245025</v>
      </c>
      <c r="C299" s="0" t="n">
        <f aca="false">$B$23*SQRT(1+(1/18)+(B299/$D$21))</f>
        <v>0.0789997389464574</v>
      </c>
      <c r="D299" s="0" t="n">
        <f aca="false">(0.00451*A299)-1.7651</f>
        <v>6.10485</v>
      </c>
      <c r="E299" s="0" t="n">
        <f aca="false">D299-($I$28*C299)</f>
        <v>5.93737055343351</v>
      </c>
      <c r="F299" s="0" t="n">
        <f aca="false">D299+($I$28*C299)</f>
        <v>6.27232944656649</v>
      </c>
    </row>
    <row r="300" customFormat="false" ht="15" hidden="false" customHeight="false" outlineLevel="0" collapsed="false">
      <c r="A300" s="0" t="n">
        <f aca="false">A299+5</f>
        <v>1750</v>
      </c>
      <c r="B300" s="0" t="n">
        <f aca="false">(A300-$B$21)^2</f>
        <v>250000</v>
      </c>
      <c r="C300" s="0" t="n">
        <f aca="false">$B$23*SQRT(1+(1/18)+(B300/$D$21))</f>
        <v>0.0790372858598024</v>
      </c>
      <c r="D300" s="0" t="n">
        <f aca="false">(0.00451*A300)-1.7651</f>
        <v>6.1274</v>
      </c>
      <c r="E300" s="0" t="n">
        <f aca="false">D300-($I$28*C300)</f>
        <v>5.95984095397722</v>
      </c>
      <c r="F300" s="0" t="n">
        <f aca="false">D300+($I$28*C300)</f>
        <v>6.29495904602278</v>
      </c>
    </row>
    <row r="301" customFormat="false" ht="15" hidden="false" customHeight="false" outlineLevel="0" collapsed="false">
      <c r="A301" s="0" t="n">
        <f aca="false">A300+5</f>
        <v>1755</v>
      </c>
      <c r="B301" s="0" t="n">
        <f aca="false">(A301-$B$21)^2</f>
        <v>255025</v>
      </c>
      <c r="C301" s="0" t="n">
        <f aca="false">$B$23*SQRT(1+(1/18)+(B301/$D$21))</f>
        <v>0.079075192031165</v>
      </c>
      <c r="D301" s="0" t="n">
        <f aca="false">(0.00451*A301)-1.7651</f>
        <v>6.14995</v>
      </c>
      <c r="E301" s="0" t="n">
        <f aca="false">D301-($I$28*C301)</f>
        <v>5.98231059289393</v>
      </c>
      <c r="F301" s="0" t="n">
        <f aca="false">D301+($I$28*C301)</f>
        <v>6.31758940710607</v>
      </c>
    </row>
    <row r="302" customFormat="false" ht="15" hidden="false" customHeight="false" outlineLevel="0" collapsed="false">
      <c r="A302" s="0" t="n">
        <f aca="false">A301+5</f>
        <v>1760</v>
      </c>
      <c r="B302" s="0" t="n">
        <f aca="false">(A302-$B$21)^2</f>
        <v>260100</v>
      </c>
      <c r="C302" s="0" t="n">
        <f aca="false">$B$23*SQRT(1+(1/18)+(B302/$D$21))</f>
        <v>0.0791134569441439</v>
      </c>
      <c r="D302" s="0" t="n">
        <f aca="false">(0.00451*A302)-1.7651</f>
        <v>6.1725</v>
      </c>
      <c r="E302" s="0" t="n">
        <f aca="false">D302-($I$28*C302)</f>
        <v>6.00477947127842</v>
      </c>
      <c r="F302" s="0" t="n">
        <f aca="false">D302+($I$28*C302)</f>
        <v>6.34022052872158</v>
      </c>
    </row>
    <row r="303" customFormat="false" ht="15" hidden="false" customHeight="false" outlineLevel="0" collapsed="false">
      <c r="A303" s="0" t="n">
        <f aca="false">A302+5</f>
        <v>1765</v>
      </c>
      <c r="B303" s="0" t="n">
        <f aca="false">(A303-$B$21)^2</f>
        <v>265225</v>
      </c>
      <c r="C303" s="0" t="n">
        <f aca="false">$B$23*SQRT(1+(1/18)+(B303/$D$21))</f>
        <v>0.0791520800784538</v>
      </c>
      <c r="D303" s="0" t="n">
        <f aca="false">(0.00451*A303)-1.7651</f>
        <v>6.19505</v>
      </c>
      <c r="E303" s="0" t="n">
        <f aca="false">D303-($I$28*C303)</f>
        <v>6.02724759023368</v>
      </c>
      <c r="F303" s="0" t="n">
        <f aca="false">D303+($I$28*C303)</f>
        <v>6.36285240976632</v>
      </c>
    </row>
    <row r="304" customFormat="false" ht="15" hidden="false" customHeight="false" outlineLevel="0" collapsed="false">
      <c r="A304" s="0" t="n">
        <f aca="false">A303+5</f>
        <v>1770</v>
      </c>
      <c r="B304" s="0" t="n">
        <f aca="false">(A304-$B$21)^2</f>
        <v>270400</v>
      </c>
      <c r="C304" s="0" t="n">
        <f aca="false">$B$23*SQRT(1+(1/18)+(B304/$D$21))</f>
        <v>0.0791910609099589</v>
      </c>
      <c r="D304" s="0" t="n">
        <f aca="false">(0.00451*A304)-1.7651</f>
        <v>6.2176</v>
      </c>
      <c r="E304" s="0" t="n">
        <f aca="false">D304-($I$28*C304)</f>
        <v>6.04971495087089</v>
      </c>
      <c r="F304" s="0" t="n">
        <f aca="false">D304+($I$28*C304)</f>
        <v>6.38548504912911</v>
      </c>
    </row>
    <row r="305" customFormat="false" ht="15" hidden="false" customHeight="false" outlineLevel="0" collapsed="false">
      <c r="A305" s="0" t="n">
        <f aca="false">A304+5</f>
        <v>1775</v>
      </c>
      <c r="B305" s="0" t="n">
        <f aca="false">(A305-$B$21)^2</f>
        <v>275625</v>
      </c>
      <c r="C305" s="0" t="n">
        <f aca="false">$B$23*SQRT(1+(1/18)+(B305/$D$21))</f>
        <v>0.0792303989107051</v>
      </c>
      <c r="D305" s="0" t="n">
        <f aca="false">(0.00451*A305)-1.7651</f>
        <v>6.24015</v>
      </c>
      <c r="E305" s="0" t="n">
        <f aca="false">D305-($I$28*C305)</f>
        <v>6.07218155430931</v>
      </c>
      <c r="F305" s="0" t="n">
        <f aca="false">D305+($I$28*C305)</f>
        <v>6.4081184456907</v>
      </c>
    </row>
    <row r="306" customFormat="false" ht="15" hidden="false" customHeight="false" outlineLevel="0" collapsed="false">
      <c r="A306" s="0" t="n">
        <f aca="false">A305+5</f>
        <v>1780</v>
      </c>
      <c r="B306" s="0" t="n">
        <f aca="false">(A306-$B$21)^2</f>
        <v>280900</v>
      </c>
      <c r="C306" s="0" t="n">
        <f aca="false">$B$23*SQRT(1+(1/18)+(B306/$D$21))</f>
        <v>0.0792700935489538</v>
      </c>
      <c r="D306" s="0" t="n">
        <f aca="false">(0.00451*A306)-1.7651</f>
        <v>6.2627</v>
      </c>
      <c r="E306" s="0" t="n">
        <f aca="false">D306-($I$28*C306)</f>
        <v>6.09464740167622</v>
      </c>
      <c r="F306" s="0" t="n">
        <f aca="false">D306+($I$28*C306)</f>
        <v>6.43075259832378</v>
      </c>
    </row>
    <row r="307" customFormat="false" ht="15" hidden="false" customHeight="false" outlineLevel="0" collapsed="false">
      <c r="A307" s="0" t="n">
        <f aca="false">A306+5</f>
        <v>1785</v>
      </c>
      <c r="B307" s="0" t="n">
        <f aca="false">(A307-$B$21)^2</f>
        <v>286225</v>
      </c>
      <c r="C307" s="0" t="n">
        <f aca="false">$B$23*SQRT(1+(1/18)+(B307/$D$21))</f>
        <v>0.0793101442892149</v>
      </c>
      <c r="D307" s="0" t="n">
        <f aca="false">(0.00451*A307)-1.7651</f>
        <v>6.28525</v>
      </c>
      <c r="E307" s="0" t="n">
        <f aca="false">D307-($I$28*C307)</f>
        <v>6.11711249410686</v>
      </c>
      <c r="F307" s="0" t="n">
        <f aca="false">D307+($I$28*C307)</f>
        <v>6.45338750589314</v>
      </c>
    </row>
    <row r="308" customFormat="false" ht="15" hidden="false" customHeight="false" outlineLevel="0" collapsed="false">
      <c r="A308" s="0" t="n">
        <f aca="false">A307+5</f>
        <v>1790</v>
      </c>
      <c r="B308" s="0" t="n">
        <f aca="false">(A308-$B$21)^2</f>
        <v>291600</v>
      </c>
      <c r="C308" s="0" t="n">
        <f aca="false">$B$23*SQRT(1+(1/18)+(B308/$D$21))</f>
        <v>0.0793505505922806</v>
      </c>
      <c r="D308" s="0" t="n">
        <f aca="false">(0.00451*A308)-1.7651</f>
        <v>6.3078</v>
      </c>
      <c r="E308" s="0" t="n">
        <f aca="false">D308-($I$28*C308)</f>
        <v>6.13957683274437</v>
      </c>
      <c r="F308" s="0" t="n">
        <f aca="false">D308+($I$28*C308)</f>
        <v>6.47602316725564</v>
      </c>
    </row>
    <row r="309" customFormat="false" ht="15" hidden="false" customHeight="false" outlineLevel="0" collapsed="false">
      <c r="A309" s="0" t="n">
        <f aca="false">A308+5</f>
        <v>1795</v>
      </c>
      <c r="B309" s="0" t="n">
        <f aca="false">(A309-$B$21)^2</f>
        <v>297025</v>
      </c>
      <c r="C309" s="0" t="n">
        <f aca="false">$B$23*SQRT(1+(1/18)+(B309/$D$21))</f>
        <v>0.0793913119152585</v>
      </c>
      <c r="D309" s="0" t="n">
        <f aca="false">(0.00451*A309)-1.7651</f>
        <v>6.33035</v>
      </c>
      <c r="E309" s="0" t="n">
        <f aca="false">D309-($I$28*C309)</f>
        <v>6.16204041873965</v>
      </c>
      <c r="F309" s="0" t="n">
        <f aca="false">D309+($I$28*C309)</f>
        <v>6.49865958126035</v>
      </c>
    </row>
    <row r="310" customFormat="false" ht="15" hidden="false" customHeight="false" outlineLevel="0" collapsed="false">
      <c r="A310" s="0" t="n">
        <f aca="false">A309+5</f>
        <v>1800</v>
      </c>
      <c r="B310" s="0" t="n">
        <f aca="false">(A310-$B$21)^2</f>
        <v>302500</v>
      </c>
      <c r="C310" s="0" t="n">
        <f aca="false">$B$23*SQRT(1+(1/18)+(B310/$D$21))</f>
        <v>0.0794324277116055</v>
      </c>
      <c r="D310" s="0" t="n">
        <f aca="false">(0.00451*A310)-1.7651</f>
        <v>6.3529</v>
      </c>
      <c r="E310" s="0" t="n">
        <f aca="false">D310-($I$28*C310)</f>
        <v>6.1845032532514</v>
      </c>
      <c r="F310" s="0" t="n">
        <f aca="false">D310+($I$28*C310)</f>
        <v>6.5212967467486</v>
      </c>
    </row>
    <row r="311" customFormat="false" ht="15" hidden="false" customHeight="false" outlineLevel="0" collapsed="false">
      <c r="A311" s="0" t="n">
        <f aca="false">A310+5</f>
        <v>1805</v>
      </c>
      <c r="B311" s="0" t="n">
        <f aca="false">(A311-$B$21)^2</f>
        <v>308025</v>
      </c>
      <c r="C311" s="0" t="n">
        <f aca="false">$B$23*SQRT(1+(1/18)+(B311/$D$21))</f>
        <v>0.0794738974311616</v>
      </c>
      <c r="D311" s="0" t="n">
        <f aca="false">(0.00451*A311)-1.7651</f>
        <v>6.37545</v>
      </c>
      <c r="E311" s="0" t="n">
        <f aca="false">D311-($I$28*C311)</f>
        <v>6.20696533744594</v>
      </c>
      <c r="F311" s="0" t="n">
        <f aca="false">D311+($I$28*C311)</f>
        <v>6.54393466255406</v>
      </c>
    </row>
    <row r="312" customFormat="false" ht="15" hidden="false" customHeight="false" outlineLevel="0" collapsed="false">
      <c r="A312" s="0" t="n">
        <f aca="false">A311+5</f>
        <v>1810</v>
      </c>
      <c r="B312" s="0" t="n">
        <f aca="false">(A312-$B$21)^2</f>
        <v>313600</v>
      </c>
      <c r="C312" s="0" t="n">
        <f aca="false">$B$23*SQRT(1+(1/18)+(B312/$D$21))</f>
        <v>0.0795157205201835</v>
      </c>
      <c r="D312" s="0" t="n">
        <f aca="false">(0.00451*A312)-1.7651</f>
        <v>6.398</v>
      </c>
      <c r="E312" s="0" t="n">
        <f aca="false">D312-($I$28*C312)</f>
        <v>6.22942667249721</v>
      </c>
      <c r="F312" s="0" t="n">
        <f aca="false">D312+($I$28*C312)</f>
        <v>6.56657332750279</v>
      </c>
    </row>
    <row r="313" customFormat="false" ht="15" hidden="false" customHeight="false" outlineLevel="0" collapsed="false">
      <c r="A313" s="0" t="n">
        <f aca="false">A312+5</f>
        <v>1815</v>
      </c>
      <c r="B313" s="0" t="n">
        <f aca="false">(A313-$B$21)^2</f>
        <v>319225</v>
      </c>
      <c r="C313" s="0" t="n">
        <f aca="false">$B$23*SQRT(1+(1/18)+(B313/$D$21))</f>
        <v>0.0795578964213789</v>
      </c>
      <c r="D313" s="0" t="n">
        <f aca="false">(0.00451*A313)-1.7651</f>
        <v>6.42055</v>
      </c>
      <c r="E313" s="0" t="n">
        <f aca="false">D313-($I$28*C313)</f>
        <v>6.25188725958668</v>
      </c>
      <c r="F313" s="0" t="n">
        <f aca="false">D313+($I$28*C313)</f>
        <v>6.58921274041332</v>
      </c>
    </row>
    <row r="314" customFormat="false" ht="15" hidden="false" customHeight="false" outlineLevel="0" collapsed="false">
      <c r="A314" s="0" t="n">
        <f aca="false">A313+5</f>
        <v>1820</v>
      </c>
      <c r="B314" s="0" t="n">
        <f aca="false">(A314-$B$21)^2</f>
        <v>324900</v>
      </c>
      <c r="C314" s="0" t="n">
        <f aca="false">$B$23*SQRT(1+(1/18)+(B314/$D$21))</f>
        <v>0.0796004245739403</v>
      </c>
      <c r="D314" s="0" t="n">
        <f aca="false">(0.00451*A314)-1.7651</f>
        <v>6.4431</v>
      </c>
      <c r="E314" s="0" t="n">
        <f aca="false">D314-($I$28*C314)</f>
        <v>6.27434709990325</v>
      </c>
      <c r="F314" s="0" t="n">
        <f aca="false">D314+($I$28*C314)</f>
        <v>6.61185290009675</v>
      </c>
    </row>
    <row r="315" customFormat="false" ht="15" hidden="false" customHeight="false" outlineLevel="0" collapsed="false">
      <c r="A315" s="0" t="n">
        <f aca="false">A314+5</f>
        <v>1825</v>
      </c>
      <c r="B315" s="0" t="n">
        <f aca="false">(A315-$B$21)^2</f>
        <v>330625</v>
      </c>
      <c r="C315" s="0" t="n">
        <f aca="false">$B$23*SQRT(1+(1/18)+(B315/$D$21))</f>
        <v>0.0796433044135793</v>
      </c>
      <c r="D315" s="0" t="n">
        <f aca="false">(0.00451*A315)-1.7651</f>
        <v>6.46565</v>
      </c>
      <c r="E315" s="0" t="n">
        <f aca="false">D315-($I$28*C315)</f>
        <v>6.29680619464321</v>
      </c>
      <c r="F315" s="0" t="n">
        <f aca="false">D315+($I$28*C315)</f>
        <v>6.63449380535679</v>
      </c>
    </row>
    <row r="316" customFormat="false" ht="15" hidden="false" customHeight="false" outlineLevel="0" collapsed="false">
      <c r="A316" s="0" t="n">
        <f aca="false">A315+5</f>
        <v>1830</v>
      </c>
      <c r="B316" s="0" t="n">
        <f aca="false">(A316-$B$21)^2</f>
        <v>336400</v>
      </c>
      <c r="C316" s="0" t="n">
        <f aca="false">$B$23*SQRT(1+(1/18)+(B316/$D$21))</f>
        <v>0.0796865353725606</v>
      </c>
      <c r="D316" s="0" t="n">
        <f aca="false">(0.00451*A316)-1.7651</f>
        <v>6.4882</v>
      </c>
      <c r="E316" s="0" t="n">
        <f aca="false">D316-($I$28*C316)</f>
        <v>6.31926454501017</v>
      </c>
      <c r="F316" s="0" t="n">
        <f aca="false">D316+($I$28*C316)</f>
        <v>6.65713545498983</v>
      </c>
    </row>
    <row r="317" customFormat="false" ht="15" hidden="false" customHeight="false" outlineLevel="0" collapsed="false">
      <c r="A317" s="0" t="n">
        <f aca="false">A316+5</f>
        <v>1835</v>
      </c>
      <c r="B317" s="0" t="n">
        <f aca="false">(A317-$B$21)^2</f>
        <v>342225</v>
      </c>
      <c r="C317" s="0" t="n">
        <f aca="false">$B$23*SQRT(1+(1/18)+(B317/$D$21))</f>
        <v>0.0797301168797363</v>
      </c>
      <c r="D317" s="0" t="n">
        <f aca="false">(0.00451*A317)-1.7651</f>
        <v>6.51075</v>
      </c>
      <c r="E317" s="0" t="n">
        <f aca="false">D317-($I$28*C317)</f>
        <v>6.34172215221496</v>
      </c>
      <c r="F317" s="0" t="n">
        <f aca="false">D317+($I$28*C317)</f>
        <v>6.67977784778504</v>
      </c>
    </row>
    <row r="318" customFormat="false" ht="15" hidden="false" customHeight="false" outlineLevel="0" collapsed="false">
      <c r="A318" s="0" t="n">
        <f aca="false">A317+5</f>
        <v>1840</v>
      </c>
      <c r="B318" s="0" t="n">
        <f aca="false">(A318-$B$21)^2</f>
        <v>348100</v>
      </c>
      <c r="C318" s="0" t="n">
        <f aca="false">$B$23*SQRT(1+(1/18)+(B318/$D$21))</f>
        <v>0.0797740483605807</v>
      </c>
      <c r="D318" s="0" t="n">
        <f aca="false">(0.00451*A318)-1.7651</f>
        <v>6.5333</v>
      </c>
      <c r="E318" s="0" t="n">
        <f aca="false">D318-($I$28*C318)</f>
        <v>6.36417901747557</v>
      </c>
      <c r="F318" s="0" t="n">
        <f aca="false">D318+($I$28*C318)</f>
        <v>6.70242098252443</v>
      </c>
    </row>
    <row r="319" customFormat="false" ht="15" hidden="false" customHeight="false" outlineLevel="0" collapsed="false">
      <c r="A319" s="0" t="n">
        <f aca="false">A318+5</f>
        <v>1845</v>
      </c>
      <c r="B319" s="0" t="n">
        <f aca="false">(A319-$B$21)^2</f>
        <v>354025</v>
      </c>
      <c r="C319" s="0" t="n">
        <f aca="false">$B$23*SQRT(1+(1/18)+(B319/$D$21))</f>
        <v>0.0798183292372242</v>
      </c>
      <c r="D319" s="0" t="n">
        <f aca="false">(0.00451*A319)-1.7651</f>
        <v>6.55585</v>
      </c>
      <c r="E319" s="0" t="n">
        <f aca="false">D319-($I$28*C319)</f>
        <v>6.38663514201708</v>
      </c>
      <c r="F319" s="0" t="n">
        <f aca="false">D319+($I$28*C319)</f>
        <v>6.72506485798292</v>
      </c>
    </row>
    <row r="320" customFormat="false" ht="15" hidden="false" customHeight="false" outlineLevel="0" collapsed="false">
      <c r="A320" s="0" t="n">
        <f aca="false">A319+5</f>
        <v>1850</v>
      </c>
      <c r="B320" s="0" t="n">
        <f aca="false">(A320-$B$21)^2</f>
        <v>360000</v>
      </c>
      <c r="C320" s="0" t="n">
        <f aca="false">$B$23*SQRT(1+(1/18)+(B320/$D$21))</f>
        <v>0.0798629589284879</v>
      </c>
      <c r="D320" s="0" t="n">
        <f aca="false">(0.00451*A320)-1.7651</f>
        <v>6.5784</v>
      </c>
      <c r="E320" s="0" t="n">
        <f aca="false">D320-($I$28*C320)</f>
        <v>6.40909052707161</v>
      </c>
      <c r="F320" s="0" t="n">
        <f aca="false">D320+($I$28*C320)</f>
        <v>6.7477094729284</v>
      </c>
    </row>
    <row r="321" customFormat="false" ht="15" hidden="false" customHeight="false" outlineLevel="0" collapsed="false">
      <c r="A321" s="0" t="n">
        <f aca="false">A320+5</f>
        <v>1855</v>
      </c>
      <c r="B321" s="0" t="n">
        <f aca="false">(A321-$B$21)^2</f>
        <v>366025</v>
      </c>
      <c r="C321" s="0" t="n">
        <f aca="false">$B$23*SQRT(1+(1/18)+(B321/$D$21))</f>
        <v>0.0799079368499184</v>
      </c>
      <c r="D321" s="0" t="n">
        <f aca="false">(0.00451*A321)-1.7651</f>
        <v>6.60095</v>
      </c>
      <c r="E321" s="0" t="n">
        <f aca="false">D321-($I$28*C321)</f>
        <v>6.43154517387817</v>
      </c>
      <c r="F321" s="0" t="n">
        <f aca="false">D321+($I$28*C321)</f>
        <v>6.77035482612183</v>
      </c>
    </row>
    <row r="322" customFormat="false" ht="15" hidden="false" customHeight="false" outlineLevel="0" collapsed="false">
      <c r="A322" s="0" t="n">
        <f aca="false">A321+5</f>
        <v>1860</v>
      </c>
      <c r="B322" s="0" t="n">
        <f aca="false">(A322-$B$21)^2</f>
        <v>372100</v>
      </c>
      <c r="C322" s="0" t="n">
        <f aca="false">$B$23*SQRT(1+(1/18)+(B322/$D$21))</f>
        <v>0.0799532624138225</v>
      </c>
      <c r="D322" s="0" t="n">
        <f aca="false">(0.00451*A322)-1.7651</f>
        <v>6.6235</v>
      </c>
      <c r="E322" s="0" t="n">
        <f aca="false">D322-($I$28*C322)</f>
        <v>6.4539990836827</v>
      </c>
      <c r="F322" s="0" t="n">
        <f aca="false">D322+($I$28*C322)</f>
        <v>6.7930009163173</v>
      </c>
    </row>
    <row r="323" customFormat="false" ht="15" hidden="false" customHeight="false" outlineLevel="0" collapsed="false">
      <c r="A323" s="0" t="n">
        <f aca="false">A322+5</f>
        <v>1865</v>
      </c>
      <c r="B323" s="0" t="n">
        <f aca="false">(A323-$B$21)^2</f>
        <v>378225</v>
      </c>
      <c r="C323" s="0" t="n">
        <f aca="false">$B$23*SQRT(1+(1/18)+(B323/$D$21))</f>
        <v>0.0799989350293011</v>
      </c>
      <c r="D323" s="0" t="n">
        <f aca="false">(0.00451*A323)-1.7651</f>
        <v>6.64605</v>
      </c>
      <c r="E323" s="0" t="n">
        <f aca="false">D323-($I$28*C323)</f>
        <v>6.47645225773788</v>
      </c>
      <c r="F323" s="0" t="n">
        <f aca="false">D323+($I$28*C323)</f>
        <v>6.81564774226212</v>
      </c>
    </row>
    <row r="324" customFormat="false" ht="15" hidden="false" customHeight="false" outlineLevel="0" collapsed="false">
      <c r="A324" s="0" t="n">
        <f aca="false">A323+5</f>
        <v>1870</v>
      </c>
      <c r="B324" s="0" t="n">
        <f aca="false">(A324-$B$21)^2</f>
        <v>384400</v>
      </c>
      <c r="C324" s="0" t="n">
        <f aca="false">$B$23*SQRT(1+(1/18)+(B324/$D$21))</f>
        <v>0.080044954102285</v>
      </c>
      <c r="D324" s="0" t="n">
        <f aca="false">(0.00451*A324)-1.7651</f>
        <v>6.6686</v>
      </c>
      <c r="E324" s="0" t="n">
        <f aca="false">D324-($I$28*C324)</f>
        <v>6.49890469730316</v>
      </c>
      <c r="F324" s="0" t="n">
        <f aca="false">D324+($I$28*C324)</f>
        <v>6.83829530269684</v>
      </c>
    </row>
    <row r="325" customFormat="false" ht="15" hidden="false" customHeight="false" outlineLevel="0" collapsed="false">
      <c r="A325" s="0" t="n">
        <f aca="false">A324+5</f>
        <v>1875</v>
      </c>
      <c r="B325" s="0" t="n">
        <f aca="false">(A325-$B$21)^2</f>
        <v>390625</v>
      </c>
      <c r="C325" s="0" t="n">
        <f aca="false">$B$23*SQRT(1+(1/18)+(B325/$D$21))</f>
        <v>0.0800913190355688</v>
      </c>
      <c r="D325" s="0" t="n">
        <f aca="false">(0.00451*A325)-1.7651</f>
        <v>6.69115</v>
      </c>
      <c r="E325" s="0" t="n">
        <f aca="false">D325-($I$28*C325)</f>
        <v>6.52135640364459</v>
      </c>
      <c r="F325" s="0" t="n">
        <f aca="false">D325+($I$28*C325)</f>
        <v>6.86094359635541</v>
      </c>
    </row>
    <row r="326" customFormat="false" ht="15" hidden="false" customHeight="false" outlineLevel="0" collapsed="false">
      <c r="A326" s="0" t="n">
        <f aca="false">A325+5</f>
        <v>1880</v>
      </c>
      <c r="B326" s="0" t="n">
        <f aca="false">(A326-$B$21)^2</f>
        <v>396900</v>
      </c>
      <c r="C326" s="0" t="n">
        <f aca="false">$B$23*SQRT(1+(1/18)+(B326/$D$21))</f>
        <v>0.0801380292288462</v>
      </c>
      <c r="D326" s="0" t="n">
        <f aca="false">(0.00451*A326)-1.7651</f>
        <v>6.7137</v>
      </c>
      <c r="E326" s="0" t="n">
        <f aca="false">D326-($I$28*C326)</f>
        <v>6.54380737803485</v>
      </c>
      <c r="F326" s="0" t="n">
        <f aca="false">D326+($I$28*C326)</f>
        <v>6.88359262196515</v>
      </c>
    </row>
    <row r="327" customFormat="false" ht="15" hidden="false" customHeight="false" outlineLevel="0" collapsed="false">
      <c r="A327" s="0" t="n">
        <f aca="false">A326+5</f>
        <v>1885</v>
      </c>
      <c r="B327" s="0" t="n">
        <f aca="false">(A327-$B$21)^2</f>
        <v>403225</v>
      </c>
      <c r="C327" s="0" t="n">
        <f aca="false">$B$23*SQRT(1+(1/18)+(B327/$D$21))</f>
        <v>0.0801850840787446</v>
      </c>
      <c r="D327" s="0" t="n">
        <f aca="false">(0.00451*A327)-1.7651</f>
        <v>6.73625</v>
      </c>
      <c r="E327" s="0" t="n">
        <f aca="false">D327-($I$28*C327)</f>
        <v>6.56625762175306</v>
      </c>
      <c r="F327" s="0" t="n">
        <f aca="false">D327+($I$28*C327)</f>
        <v>6.90624237824694</v>
      </c>
    </row>
    <row r="328" customFormat="false" ht="15" hidden="false" customHeight="false" outlineLevel="0" collapsed="false">
      <c r="A328" s="0" t="n">
        <f aca="false">A327+5</f>
        <v>1890</v>
      </c>
      <c r="B328" s="0" t="n">
        <f aca="false">(A328-$B$21)^2</f>
        <v>409600</v>
      </c>
      <c r="C328" s="0" t="n">
        <f aca="false">$B$23*SQRT(1+(1/18)+(B328/$D$21))</f>
        <v>0.08023248297886</v>
      </c>
      <c r="D328" s="0" t="n">
        <f aca="false">(0.00451*A328)-1.7651</f>
        <v>6.7588</v>
      </c>
      <c r="E328" s="0" t="n">
        <f aca="false">D328-($I$28*C328)</f>
        <v>6.58870713608482</v>
      </c>
      <c r="F328" s="0" t="n">
        <f aca="false">D328+($I$28*C328)</f>
        <v>6.92889286391518</v>
      </c>
    </row>
    <row r="329" customFormat="false" ht="15" hidden="false" customHeight="false" outlineLevel="0" collapsed="false">
      <c r="A329" s="0" t="n">
        <f aca="false">A328+5</f>
        <v>1895</v>
      </c>
      <c r="B329" s="0" t="n">
        <f aca="false">(A329-$B$21)^2</f>
        <v>416025</v>
      </c>
      <c r="C329" s="0" t="n">
        <f aca="false">$B$23*SQRT(1+(1/18)+(B329/$D$21))</f>
        <v>0.0802802253197919</v>
      </c>
      <c r="D329" s="0" t="n">
        <f aca="false">(0.00451*A329)-1.7651</f>
        <v>6.78135</v>
      </c>
      <c r="E329" s="0" t="n">
        <f aca="false">D329-($I$28*C329)</f>
        <v>6.61115592232204</v>
      </c>
      <c r="F329" s="0" t="n">
        <f aca="false">D329+($I$28*C329)</f>
        <v>6.95154407767796</v>
      </c>
    </row>
    <row r="330" customFormat="false" ht="15" hidden="false" customHeight="false" outlineLevel="0" collapsed="false">
      <c r="A330" s="0" t="n">
        <f aca="false">A329+5</f>
        <v>1900</v>
      </c>
      <c r="B330" s="0" t="n">
        <f aca="false">(A330-$B$21)^2</f>
        <v>422500</v>
      </c>
      <c r="C330" s="0" t="n">
        <f aca="false">$B$23*SQRT(1+(1/18)+(B330/$D$21))</f>
        <v>0.0803283104891784</v>
      </c>
      <c r="D330" s="0" t="n">
        <f aca="false">(0.00451*A330)-1.7651</f>
        <v>6.8039</v>
      </c>
      <c r="E330" s="0" t="n">
        <f aca="false">D330-($I$28*C330)</f>
        <v>6.63360398176294</v>
      </c>
      <c r="F330" s="0" t="n">
        <f aca="false">D330+($I$28*C330)</f>
        <v>6.97419601823706</v>
      </c>
    </row>
    <row r="331" customFormat="false" ht="15" hidden="false" customHeight="false" outlineLevel="0" collapsed="false">
      <c r="A331" s="0" t="n">
        <f aca="false">A330+5</f>
        <v>1905</v>
      </c>
      <c r="B331" s="0" t="n">
        <f aca="false">(A331-$B$21)^2</f>
        <v>429025</v>
      </c>
      <c r="C331" s="0" t="n">
        <f aca="false">$B$23*SQRT(1+(1/18)+(B331/$D$21))</f>
        <v>0.0803767378717308</v>
      </c>
      <c r="D331" s="0" t="n">
        <f aca="false">(0.00451*A331)-1.7651</f>
        <v>6.82645</v>
      </c>
      <c r="E331" s="0" t="n">
        <f aca="false">D331-($I$28*C331)</f>
        <v>6.65605131571193</v>
      </c>
      <c r="F331" s="0" t="n">
        <f aca="false">D331+($I$28*C331)</f>
        <v>6.99684868428807</v>
      </c>
    </row>
    <row r="332" customFormat="false" ht="15" hidden="false" customHeight="false" outlineLevel="0" collapsed="false">
      <c r="A332" s="0" t="n">
        <f aca="false">A331+5</f>
        <v>1910</v>
      </c>
      <c r="B332" s="0" t="n">
        <f aca="false">(A332-$B$21)^2</f>
        <v>435600</v>
      </c>
      <c r="C332" s="0" t="n">
        <f aca="false">$B$23*SQRT(1+(1/18)+(B332/$D$21))</f>
        <v>0.0804255068492688</v>
      </c>
      <c r="D332" s="0" t="n">
        <f aca="false">(0.00451*A332)-1.7651</f>
        <v>6.849</v>
      </c>
      <c r="E332" s="0" t="n">
        <f aca="false">D332-($I$28*C332)</f>
        <v>6.67849792547955</v>
      </c>
      <c r="F332" s="0" t="n">
        <f aca="false">D332+($I$28*C332)</f>
        <v>7.01950207452045</v>
      </c>
    </row>
    <row r="333" customFormat="false" ht="15" hidden="false" customHeight="false" outlineLevel="0" collapsed="false">
      <c r="A333" s="0" t="n">
        <f aca="false">A332+5</f>
        <v>1915</v>
      </c>
      <c r="B333" s="0" t="n">
        <f aca="false">(A333-$B$21)^2</f>
        <v>442225</v>
      </c>
      <c r="C333" s="0" t="n">
        <f aca="false">$B$23*SQRT(1+(1/18)+(B333/$D$21))</f>
        <v>0.0804746168007554</v>
      </c>
      <c r="D333" s="0" t="n">
        <f aca="false">(0.00451*A333)-1.7651</f>
        <v>6.87155</v>
      </c>
      <c r="E333" s="0" t="n">
        <f aca="false">D333-($I$28*C333)</f>
        <v>6.7009438123824</v>
      </c>
      <c r="F333" s="0" t="n">
        <f aca="false">D333+($I$28*C333)</f>
        <v>7.0421561876176</v>
      </c>
    </row>
    <row r="334" customFormat="false" ht="15" hidden="false" customHeight="false" outlineLevel="0" collapsed="false">
      <c r="A334" s="0" t="n">
        <f aca="false">A333+5</f>
        <v>1920</v>
      </c>
      <c r="B334" s="0" t="n">
        <f aca="false">(A334-$B$21)^2</f>
        <v>448900</v>
      </c>
      <c r="C334" s="0" t="n">
        <f aca="false">$B$23*SQRT(1+(1/18)+(B334/$D$21))</f>
        <v>0.080524067102332</v>
      </c>
      <c r="D334" s="0" t="n">
        <f aca="false">(0.00451*A334)-1.7651</f>
        <v>6.8941</v>
      </c>
      <c r="E334" s="0" t="n">
        <f aca="false">D334-($I$28*C334)</f>
        <v>6.72338897774306</v>
      </c>
      <c r="F334" s="0" t="n">
        <f aca="false">D334+($I$28*C334)</f>
        <v>7.06481102225694</v>
      </c>
    </row>
    <row r="335" customFormat="false" ht="15" hidden="false" customHeight="false" outlineLevel="0" collapsed="false">
      <c r="A335" s="0" t="n">
        <f aca="false">A334+5</f>
        <v>1925</v>
      </c>
      <c r="B335" s="0" t="n">
        <f aca="false">(A335-$B$21)^2</f>
        <v>455625</v>
      </c>
      <c r="C335" s="0" t="n">
        <f aca="false">$B$23*SQRT(1+(1/18)+(B335/$D$21))</f>
        <v>0.0805738571273529</v>
      </c>
      <c r="D335" s="0" t="n">
        <f aca="false">(0.00451*A335)-1.7651</f>
        <v>6.91665</v>
      </c>
      <c r="E335" s="0" t="n">
        <f aca="false">D335-($I$28*C335)</f>
        <v>6.74583342289001</v>
      </c>
      <c r="F335" s="0" t="n">
        <f aca="false">D335+($I$28*C335)</f>
        <v>7.08746657710999</v>
      </c>
    </row>
    <row r="336" customFormat="false" ht="15" hidden="false" customHeight="false" outlineLevel="0" collapsed="false">
      <c r="A336" s="0" t="n">
        <f aca="false">A335+5</f>
        <v>1930</v>
      </c>
      <c r="B336" s="0" t="n">
        <f aca="false">(A336-$B$21)^2</f>
        <v>462400</v>
      </c>
      <c r="C336" s="0" t="n">
        <f aca="false">$B$23*SQRT(1+(1/18)+(B336/$D$21))</f>
        <v>0.080623986246421</v>
      </c>
      <c r="D336" s="0" t="n">
        <f aca="false">(0.00451*A336)-1.7651</f>
        <v>6.9392</v>
      </c>
      <c r="E336" s="0" t="n">
        <f aca="false">D336-($I$28*C336)</f>
        <v>6.76827714915759</v>
      </c>
      <c r="F336" s="0" t="n">
        <f aca="false">D336+($I$28*C336)</f>
        <v>7.11012285084241</v>
      </c>
    </row>
    <row r="337" customFormat="false" ht="15" hidden="false" customHeight="false" outlineLevel="0" collapsed="false">
      <c r="A337" s="0" t="n">
        <f aca="false">A336+5</f>
        <v>1935</v>
      </c>
      <c r="B337" s="0" t="n">
        <f aca="false">(A337-$B$21)^2</f>
        <v>469225</v>
      </c>
      <c r="C337" s="0" t="n">
        <f aca="false">$B$23*SQRT(1+(1/18)+(B337/$D$21))</f>
        <v>0.0806744538274222</v>
      </c>
      <c r="D337" s="0" t="n">
        <f aca="false">(0.00451*A337)-1.7651</f>
        <v>6.96175</v>
      </c>
      <c r="E337" s="0" t="n">
        <f aca="false">D337-($I$28*C337)</f>
        <v>6.79072015788587</v>
      </c>
      <c r="F337" s="0" t="n">
        <f aca="false">D337+($I$28*C337)</f>
        <v>7.13277984211414</v>
      </c>
    </row>
    <row r="338" customFormat="false" ht="15" hidden="false" customHeight="false" outlineLevel="0" collapsed="false">
      <c r="A338" s="0" t="n">
        <f aca="false">A337+5</f>
        <v>1940</v>
      </c>
      <c r="B338" s="0" t="n">
        <f aca="false">(A338-$B$21)^2</f>
        <v>476100</v>
      </c>
      <c r="C338" s="0" t="n">
        <f aca="false">$B$23*SQRT(1+(1/18)+(B338/$D$21))</f>
        <v>0.0807252592355605</v>
      </c>
      <c r="D338" s="0" t="n">
        <f aca="false">(0.00451*A338)-1.7651</f>
        <v>6.9843</v>
      </c>
      <c r="E338" s="0" t="n">
        <f aca="false">D338-($I$28*C338)</f>
        <v>6.81316245042061</v>
      </c>
      <c r="F338" s="0" t="n">
        <f aca="false">D338+($I$28*C338)</f>
        <v>7.15543754957939</v>
      </c>
    </row>
    <row r="339" customFormat="false" ht="15" hidden="false" customHeight="false" outlineLevel="0" collapsed="false">
      <c r="A339" s="0" t="n">
        <f aca="false">A338+5</f>
        <v>1945</v>
      </c>
      <c r="B339" s="0" t="n">
        <f aca="false">(A339-$B$21)^2</f>
        <v>483025</v>
      </c>
      <c r="C339" s="0" t="n">
        <f aca="false">$B$23*SQRT(1+(1/18)+(B339/$D$21))</f>
        <v>0.0807764018333932</v>
      </c>
      <c r="D339" s="0" t="n">
        <f aca="false">(0.00451*A339)-1.7651</f>
        <v>7.00685</v>
      </c>
      <c r="E339" s="0" t="n">
        <f aca="false">D339-($I$28*C339)</f>
        <v>6.83560402811321</v>
      </c>
      <c r="F339" s="0" t="n">
        <f aca="false">D339+($I$28*C339)</f>
        <v>7.17809597188679</v>
      </c>
    </row>
    <row r="340" customFormat="false" ht="15" hidden="false" customHeight="false" outlineLevel="0" collapsed="false">
      <c r="A340" s="0" t="n">
        <f aca="false">A339+5</f>
        <v>1950</v>
      </c>
      <c r="B340" s="0" t="n">
        <f aca="false">(A340-$B$21)^2</f>
        <v>490000</v>
      </c>
      <c r="C340" s="0" t="n">
        <f aca="false">$B$23*SQRT(1+(1/18)+(B340/$D$21))</f>
        <v>0.0808278809808655</v>
      </c>
      <c r="D340" s="0" t="n">
        <f aca="false">(0.00451*A340)-1.7651</f>
        <v>7.0294</v>
      </c>
      <c r="E340" s="0" t="n">
        <f aca="false">D340-($I$28*C340)</f>
        <v>6.85804489232057</v>
      </c>
      <c r="F340" s="0" t="n">
        <f aca="false">D340+($I$28*C340)</f>
        <v>7.20075510767944</v>
      </c>
    </row>
    <row r="341" customFormat="false" ht="15" hidden="false" customHeight="false" outlineLevel="0" collapsed="false">
      <c r="A341" s="0" t="n">
        <f aca="false">A340+5</f>
        <v>1955</v>
      </c>
      <c r="B341" s="0" t="n">
        <f aca="false">(A341-$B$21)^2</f>
        <v>497025</v>
      </c>
      <c r="C341" s="0" t="n">
        <f aca="false">$B$23*SQRT(1+(1/18)+(B341/$D$21))</f>
        <v>0.0808796960353456</v>
      </c>
      <c r="D341" s="0" t="n">
        <f aca="false">(0.00451*A341)-1.7651</f>
        <v>7.05195</v>
      </c>
      <c r="E341" s="0" t="n">
        <f aca="false">D341-($I$28*C341)</f>
        <v>6.88048504440507</v>
      </c>
      <c r="F341" s="0" t="n">
        <f aca="false">D341+($I$28*C341)</f>
        <v>7.22341495559493</v>
      </c>
    </row>
    <row r="342" customFormat="false" ht="15" hidden="false" customHeight="false" outlineLevel="0" collapsed="false">
      <c r="A342" s="0" t="n">
        <f aca="false">A341+5</f>
        <v>1960</v>
      </c>
      <c r="B342" s="0" t="n">
        <f aca="false">(A342-$B$21)^2</f>
        <v>504100</v>
      </c>
      <c r="C342" s="0" t="n">
        <f aca="false">$B$23*SQRT(1+(1/18)+(B342/$D$21))</f>
        <v>0.0809318463516594</v>
      </c>
      <c r="D342" s="0" t="n">
        <f aca="false">(0.00451*A342)-1.7651</f>
        <v>7.0745</v>
      </c>
      <c r="E342" s="0" t="n">
        <f aca="false">D342-($I$28*C342)</f>
        <v>6.90292448573448</v>
      </c>
      <c r="F342" s="0" t="n">
        <f aca="false">D342+($I$28*C342)</f>
        <v>7.24607551426552</v>
      </c>
    </row>
    <row r="343" customFormat="false" ht="15" hidden="false" customHeight="false" outlineLevel="0" collapsed="false">
      <c r="A343" s="0" t="n">
        <f aca="false">A342+5</f>
        <v>1965</v>
      </c>
      <c r="B343" s="0" t="n">
        <f aca="false">(A343-$B$21)^2</f>
        <v>511225</v>
      </c>
      <c r="C343" s="0" t="n">
        <f aca="false">$B$23*SQRT(1+(1/18)+(B343/$D$21))</f>
        <v>0.0809843312821259</v>
      </c>
      <c r="D343" s="0" t="n">
        <f aca="false">(0.00451*A343)-1.7651</f>
        <v>7.09705</v>
      </c>
      <c r="E343" s="0" t="n">
        <f aca="false">D343-($I$28*C343)</f>
        <v>6.92536321768189</v>
      </c>
      <c r="F343" s="0" t="n">
        <f aca="false">D343+($I$28*C343)</f>
        <v>7.26873678231811</v>
      </c>
    </row>
    <row r="344" customFormat="false" ht="15" hidden="false" customHeight="false" outlineLevel="0" collapsed="false">
      <c r="A344" s="0" t="n">
        <f aca="false">A343+5</f>
        <v>1970</v>
      </c>
      <c r="B344" s="0" t="n">
        <f aca="false">(A344-$B$21)^2</f>
        <v>518400</v>
      </c>
      <c r="C344" s="0" t="n">
        <f aca="false">$B$23*SQRT(1+(1/18)+(B344/$D$21))</f>
        <v>0.0810371501765913</v>
      </c>
      <c r="D344" s="0" t="n">
        <f aca="false">(0.00451*A344)-1.7651</f>
        <v>7.1196</v>
      </c>
      <c r="E344" s="0" t="n">
        <f aca="false">D344-($I$28*C344)</f>
        <v>6.94780124162563</v>
      </c>
      <c r="F344" s="0" t="n">
        <f aca="false">D344+($I$28*C344)</f>
        <v>7.29139875837437</v>
      </c>
    </row>
    <row r="345" customFormat="false" ht="15" hidden="false" customHeight="false" outlineLevel="0" collapsed="false">
      <c r="A345" s="0" t="n">
        <f aca="false">A344+5</f>
        <v>1975</v>
      </c>
      <c r="B345" s="0" t="n">
        <f aca="false">(A345-$B$21)^2</f>
        <v>525625</v>
      </c>
      <c r="C345" s="0" t="n">
        <f aca="false">$B$23*SQRT(1+(1/18)+(B345/$D$21))</f>
        <v>0.0810903023824642</v>
      </c>
      <c r="D345" s="0" t="n">
        <f aca="false">(0.00451*A345)-1.7651</f>
        <v>7.14215</v>
      </c>
      <c r="E345" s="0" t="n">
        <f aca="false">D345-($I$28*C345)</f>
        <v>6.97023855894918</v>
      </c>
      <c r="F345" s="0" t="n">
        <f aca="false">D345+($I$28*C345)</f>
        <v>7.31406144105082</v>
      </c>
    </row>
    <row r="346" customFormat="false" ht="15" hidden="false" customHeight="false" outlineLevel="0" collapsed="false">
      <c r="A346" s="0" t="n">
        <f aca="false">A345+5</f>
        <v>1980</v>
      </c>
      <c r="B346" s="0" t="n">
        <f aca="false">(A346-$B$21)^2</f>
        <v>532900</v>
      </c>
      <c r="C346" s="0" t="n">
        <f aca="false">$B$23*SQRT(1+(1/18)+(B346/$D$21))</f>
        <v>0.0811437872447506</v>
      </c>
      <c r="D346" s="0" t="n">
        <f aca="false">(0.00451*A346)-1.7651</f>
        <v>7.1647</v>
      </c>
      <c r="E346" s="0" t="n">
        <f aca="false">D346-($I$28*C346)</f>
        <v>6.99267517104113</v>
      </c>
      <c r="F346" s="0" t="n">
        <f aca="false">D346+($I$28*C346)</f>
        <v>7.33672482895887</v>
      </c>
    </row>
    <row r="347" customFormat="false" ht="15" hidden="false" customHeight="false" outlineLevel="0" collapsed="false">
      <c r="A347" s="0" t="n">
        <f aca="false">A346+5</f>
        <v>1985</v>
      </c>
      <c r="B347" s="0" t="n">
        <f aca="false">(A347-$B$21)^2</f>
        <v>540225</v>
      </c>
      <c r="C347" s="0" t="n">
        <f aca="false">$B$23*SQRT(1+(1/18)+(B347/$D$21))</f>
        <v>0.081197604106088</v>
      </c>
      <c r="D347" s="0" t="n">
        <f aca="false">(0.00451*A347)-1.7651</f>
        <v>7.18725</v>
      </c>
      <c r="E347" s="0" t="n">
        <f aca="false">D347-($I$28*C347)</f>
        <v>7.01511107929509</v>
      </c>
      <c r="F347" s="0" t="n">
        <f aca="false">D347+($I$28*C347)</f>
        <v>7.35938892070491</v>
      </c>
    </row>
    <row r="348" customFormat="false" ht="15" hidden="false" customHeight="false" outlineLevel="0" collapsed="false">
      <c r="A348" s="0" t="n">
        <f aca="false">A347+5</f>
        <v>1990</v>
      </c>
      <c r="B348" s="0" t="n">
        <f aca="false">(A348-$B$21)^2</f>
        <v>547600</v>
      </c>
      <c r="C348" s="0" t="n">
        <f aca="false">$B$23*SQRT(1+(1/18)+(B348/$D$21))</f>
        <v>0.0812517523067807</v>
      </c>
      <c r="D348" s="0" t="n">
        <f aca="false">(0.00451*A348)-1.7651</f>
        <v>7.2098</v>
      </c>
      <c r="E348" s="0" t="n">
        <f aca="false">D348-($I$28*C348)</f>
        <v>7.03754628510963</v>
      </c>
      <c r="F348" s="0" t="n">
        <f aca="false">D348+($I$28*C348)</f>
        <v>7.38205371489037</v>
      </c>
    </row>
    <row r="349" customFormat="false" ht="15" hidden="false" customHeight="false" outlineLevel="0" collapsed="false">
      <c r="A349" s="0" t="n">
        <f aca="false">A348+5</f>
        <v>1995</v>
      </c>
      <c r="B349" s="0" t="n">
        <f aca="false">(A349-$B$21)^2</f>
        <v>555025</v>
      </c>
      <c r="C349" s="0" t="n">
        <f aca="false">$B$23*SQRT(1+(1/18)+(B349/$D$21))</f>
        <v>0.0813062311848339</v>
      </c>
      <c r="D349" s="0" t="n">
        <f aca="false">(0.00451*A349)-1.7651</f>
        <v>7.23235</v>
      </c>
      <c r="E349" s="0" t="n">
        <f aca="false">D349-($I$28*C349)</f>
        <v>7.05998078988815</v>
      </c>
      <c r="F349" s="0" t="n">
        <f aca="false">D349+($I$28*C349)</f>
        <v>7.40471921011185</v>
      </c>
    </row>
    <row r="350" customFormat="false" ht="15" hidden="false" customHeight="false" outlineLevel="0" collapsed="false">
      <c r="A350" s="0" t="n">
        <f aca="false">A349+5</f>
        <v>2000</v>
      </c>
      <c r="B350" s="0" t="n">
        <f aca="false">(A350-$B$21)^2</f>
        <v>562500</v>
      </c>
      <c r="C350" s="0" t="n">
        <f aca="false">$B$23*SQRT(1+(1/18)+(B350/$D$21))</f>
        <v>0.0813610400759889</v>
      </c>
      <c r="D350" s="0" t="n">
        <f aca="false">(0.00451*A350)-1.7651</f>
        <v>7.2549</v>
      </c>
      <c r="E350" s="0" t="n">
        <f aca="false">D350-($I$28*C350)</f>
        <v>7.0824145950389</v>
      </c>
      <c r="F350" s="0" t="n">
        <f aca="false">D350+($I$28*C350)</f>
        <v>7.4273854049611</v>
      </c>
    </row>
    <row r="351" customFormat="false" ht="15" hidden="false" customHeight="false" outlineLevel="0" collapsed="false">
      <c r="A351" s="0" t="n">
        <f aca="false">A350+5</f>
        <v>2005</v>
      </c>
      <c r="B351" s="0" t="n">
        <f aca="false">(A351-$B$21)^2</f>
        <v>570025</v>
      </c>
      <c r="C351" s="0" t="n">
        <f aca="false">$B$23*SQRT(1+(1/18)+(B351/$D$21))</f>
        <v>0.0814161783137569</v>
      </c>
      <c r="D351" s="0" t="n">
        <f aca="false">(0.00451*A351)-1.7651</f>
        <v>7.27745</v>
      </c>
      <c r="E351" s="0" t="n">
        <f aca="false">D351-($I$28*C351)</f>
        <v>7.10484770197484</v>
      </c>
      <c r="F351" s="0" t="n">
        <f aca="false">D351+($I$28*C351)</f>
        <v>7.45005229802517</v>
      </c>
    </row>
    <row r="352" customFormat="false" ht="15" hidden="false" customHeight="false" outlineLevel="0" collapsed="false">
      <c r="A352" s="0" t="n">
        <f aca="false">A351+5</f>
        <v>2010</v>
      </c>
      <c r="B352" s="0" t="n">
        <f aca="false">(A352-$B$21)^2</f>
        <v>577600</v>
      </c>
      <c r="C352" s="0" t="n">
        <f aca="false">$B$23*SQRT(1+(1/18)+(B352/$D$21))</f>
        <v>0.0814716452294542</v>
      </c>
      <c r="D352" s="0" t="n">
        <f aca="false">(0.00451*A352)-1.7651</f>
        <v>7.3</v>
      </c>
      <c r="E352" s="0" t="n">
        <f aca="false">D352-($I$28*C352)</f>
        <v>7.12728011211356</v>
      </c>
      <c r="F352" s="0" t="n">
        <f aca="false">D352+($I$28*C352)</f>
        <v>7.47271988788644</v>
      </c>
    </row>
    <row r="353" customFormat="false" ht="15" hidden="false" customHeight="false" outlineLevel="0" collapsed="false">
      <c r="A353" s="0" t="n">
        <f aca="false">A352+5</f>
        <v>2015</v>
      </c>
      <c r="B353" s="0" t="n">
        <f aca="false">(A353-$B$21)^2</f>
        <v>585225</v>
      </c>
      <c r="C353" s="0" t="n">
        <f aca="false">$B$23*SQRT(1+(1/18)+(B353/$D$21))</f>
        <v>0.0815274401522359</v>
      </c>
      <c r="D353" s="0" t="n">
        <f aca="false">(0.00451*A353)-1.7651</f>
        <v>7.32255</v>
      </c>
      <c r="E353" s="0" t="n">
        <f aca="false">D353-($I$28*C353)</f>
        <v>7.14971182687726</v>
      </c>
      <c r="F353" s="0" t="n">
        <f aca="false">D353+($I$28*C353)</f>
        <v>7.49538817312274</v>
      </c>
    </row>
    <row r="354" customFormat="false" ht="15" hidden="false" customHeight="false" outlineLevel="0" collapsed="false">
      <c r="A354" s="0" t="n">
        <f aca="false">A353+5</f>
        <v>2020</v>
      </c>
      <c r="B354" s="0" t="n">
        <f aca="false">(A354-$B$21)^2</f>
        <v>592900</v>
      </c>
      <c r="C354" s="0" t="n">
        <f aca="false">$B$23*SQRT(1+(1/18)+(B354/$D$21))</f>
        <v>0.0815835624091309</v>
      </c>
      <c r="D354" s="0" t="n">
        <f aca="false">(0.00451*A354)-1.7651</f>
        <v>7.3451</v>
      </c>
      <c r="E354" s="0" t="n">
        <f aca="false">D354-($I$28*C354)</f>
        <v>7.17214284769264</v>
      </c>
      <c r="F354" s="0" t="n">
        <f aca="false">D354+($I$28*C354)</f>
        <v>7.51805715230736</v>
      </c>
    </row>
    <row r="355" customFormat="false" ht="15" hidden="false" customHeight="false" outlineLevel="0" collapsed="false">
      <c r="A355" s="0" t="n">
        <f aca="false">A354+5</f>
        <v>2025</v>
      </c>
      <c r="B355" s="0" t="n">
        <f aca="false">(A355-$B$21)^2</f>
        <v>600625</v>
      </c>
      <c r="C355" s="0" t="n">
        <f aca="false">$B$23*SQRT(1+(1/18)+(B355/$D$21))</f>
        <v>0.0816400113250757</v>
      </c>
      <c r="D355" s="0" t="n">
        <f aca="false">(0.00451*A355)-1.7651</f>
        <v>7.36765</v>
      </c>
      <c r="E355" s="0" t="n">
        <f aca="false">D355-($I$28*C355)</f>
        <v>7.19457317599084</v>
      </c>
      <c r="F355" s="0" t="n">
        <f aca="false">D355+($I$28*C355)</f>
        <v>7.54072682400916</v>
      </c>
    </row>
    <row r="356" customFormat="false" ht="15" hidden="false" customHeight="false" outlineLevel="0" collapsed="false">
      <c r="A356" s="0" t="n">
        <f aca="false">A355+5</f>
        <v>2030</v>
      </c>
      <c r="B356" s="0" t="n">
        <f aca="false">(A356-$B$21)^2</f>
        <v>608400</v>
      </c>
      <c r="C356" s="0" t="n">
        <f aca="false">$B$23*SQRT(1+(1/18)+(B356/$D$21))</f>
        <v>0.0816967862229489</v>
      </c>
      <c r="D356" s="0" t="n">
        <f aca="false">(0.00451*A356)-1.7651</f>
        <v>7.3902</v>
      </c>
      <c r="E356" s="0" t="n">
        <f aca="false">D356-($I$28*C356)</f>
        <v>7.21700281320735</v>
      </c>
      <c r="F356" s="0" t="n">
        <f aca="false">D356+($I$28*C356)</f>
        <v>7.56339718679265</v>
      </c>
    </row>
    <row r="357" customFormat="false" ht="15" hidden="false" customHeight="false" outlineLevel="0" collapsed="false">
      <c r="A357" s="0" t="n">
        <f aca="false">A356+5</f>
        <v>2035</v>
      </c>
      <c r="B357" s="0" t="n">
        <f aca="false">(A357-$B$21)^2</f>
        <v>616225</v>
      </c>
      <c r="C357" s="0" t="n">
        <f aca="false">$B$23*SQRT(1+(1/18)+(B357/$D$21))</f>
        <v>0.0817538864236051</v>
      </c>
      <c r="D357" s="0" t="n">
        <f aca="false">(0.00451*A357)-1.7651</f>
        <v>7.41275</v>
      </c>
      <c r="E357" s="0" t="n">
        <f aca="false">D357-($I$28*C357)</f>
        <v>7.23943176078196</v>
      </c>
      <c r="F357" s="0" t="n">
        <f aca="false">D357+($I$28*C357)</f>
        <v>7.58606823921804</v>
      </c>
    </row>
    <row r="358" customFormat="false" ht="15" hidden="false" customHeight="false" outlineLevel="0" collapsed="false">
      <c r="A358" s="0" t="n">
        <f aca="false">A357+5</f>
        <v>2040</v>
      </c>
      <c r="B358" s="0" t="n">
        <f aca="false">(A358-$B$21)^2</f>
        <v>624100</v>
      </c>
      <c r="C358" s="0" t="n">
        <f aca="false">$B$23*SQRT(1+(1/18)+(B358/$D$21))</f>
        <v>0.0818113112459092</v>
      </c>
      <c r="D358" s="0" t="n">
        <f aca="false">(0.00451*A358)-1.7651</f>
        <v>7.4353</v>
      </c>
      <c r="E358" s="0" t="n">
        <f aca="false">D358-($I$28*C358)</f>
        <v>7.26186002015867</v>
      </c>
      <c r="F358" s="0" t="n">
        <f aca="false">D358+($I$28*C358)</f>
        <v>7.60873997984133</v>
      </c>
    </row>
    <row r="359" customFormat="false" ht="15" hidden="false" customHeight="false" outlineLevel="0" collapsed="false">
      <c r="A359" s="0" t="n">
        <f aca="false">A358+5</f>
        <v>2045</v>
      </c>
      <c r="B359" s="0" t="n">
        <f aca="false">(A359-$B$21)^2</f>
        <v>632025</v>
      </c>
      <c r="C359" s="0" t="n">
        <f aca="false">$B$23*SQRT(1+(1/18)+(B359/$D$21))</f>
        <v>0.08186906000677</v>
      </c>
      <c r="D359" s="0" t="n">
        <f aca="false">(0.00451*A359)-1.7651</f>
        <v>7.45785</v>
      </c>
      <c r="E359" s="0" t="n">
        <f aca="false">D359-($I$28*C359)</f>
        <v>7.28428759278565</v>
      </c>
      <c r="F359" s="0" t="n">
        <f aca="false">D359+($I$28*C359)</f>
        <v>7.63141240721435</v>
      </c>
    </row>
    <row r="360" customFormat="false" ht="15" hidden="false" customHeight="false" outlineLevel="0" collapsed="false">
      <c r="A360" s="0" t="n">
        <f aca="false">A359+5</f>
        <v>2050</v>
      </c>
      <c r="B360" s="0" t="n">
        <f aca="false">(A360-$B$21)^2</f>
        <v>640000</v>
      </c>
      <c r="C360" s="0" t="n">
        <f aca="false">$B$23*SQRT(1+(1/18)+(B360/$D$21))</f>
        <v>0.0819271320211746</v>
      </c>
      <c r="D360" s="0" t="n">
        <f aca="false">(0.00451*A360)-1.7651</f>
        <v>7.4804</v>
      </c>
      <c r="E360" s="0" t="n">
        <f aca="false">D360-($I$28*C360)</f>
        <v>7.30671448011511</v>
      </c>
      <c r="F360" s="0" t="n">
        <f aca="false">D360+($I$28*C360)</f>
        <v>7.65408551988489</v>
      </c>
    </row>
    <row r="361" customFormat="false" ht="15" hidden="false" customHeight="false" outlineLevel="0" collapsed="false">
      <c r="A361" s="0" t="n">
        <f aca="false">A360+5</f>
        <v>2055</v>
      </c>
      <c r="B361" s="0" t="n">
        <f aca="false">(A361-$B$21)^2</f>
        <v>648025</v>
      </c>
      <c r="C361" s="0" t="n">
        <f aca="false">$B$23*SQRT(1+(1/18)+(B361/$D$21))</f>
        <v>0.0819855266022219</v>
      </c>
      <c r="D361" s="0" t="n">
        <f aca="false">(0.00451*A361)-1.7651</f>
        <v>7.50295</v>
      </c>
      <c r="E361" s="0" t="n">
        <f aca="false">D361-($I$28*C361)</f>
        <v>7.32914068360329</v>
      </c>
      <c r="F361" s="0" t="n">
        <f aca="false">D361+($I$28*C361)</f>
        <v>7.67675931639671</v>
      </c>
    </row>
    <row r="362" customFormat="false" ht="15" hidden="false" customHeight="false" outlineLevel="0" collapsed="false">
      <c r="A362" s="0" t="n">
        <f aca="false">A361+5</f>
        <v>2060</v>
      </c>
      <c r="B362" s="0" t="n">
        <f aca="false">(A362-$B$21)^2</f>
        <v>656100</v>
      </c>
      <c r="C362" s="0" t="n">
        <f aca="false">$B$23*SQRT(1+(1/18)+(B362/$D$21))</f>
        <v>0.0820442430611562</v>
      </c>
      <c r="D362" s="0" t="n">
        <f aca="false">(0.00451*A362)-1.7651</f>
        <v>7.5255</v>
      </c>
      <c r="E362" s="0" t="n">
        <f aca="false">D362-($I$28*C362)</f>
        <v>7.35156620471035</v>
      </c>
      <c r="F362" s="0" t="n">
        <f aca="false">D362+($I$28*C362)</f>
        <v>7.69943379528965</v>
      </c>
    </row>
    <row r="363" customFormat="false" ht="15" hidden="false" customHeight="false" outlineLevel="0" collapsed="false">
      <c r="A363" s="0" t="n">
        <f aca="false">A362+5</f>
        <v>2065</v>
      </c>
      <c r="B363" s="0" t="n">
        <f aca="false">(A363-$B$21)^2</f>
        <v>664225</v>
      </c>
      <c r="C363" s="0" t="n">
        <f aca="false">$B$23*SQRT(1+(1/18)+(B363/$D$21))</f>
        <v>0.0821032807074011</v>
      </c>
      <c r="D363" s="0" t="n">
        <f aca="false">(0.00451*A363)-1.7651</f>
        <v>7.54805</v>
      </c>
      <c r="E363" s="0" t="n">
        <f aca="false">D363-($I$28*C363)</f>
        <v>7.37399104490031</v>
      </c>
      <c r="F363" s="0" t="n">
        <f aca="false">D363+($I$28*C363)</f>
        <v>7.72210895509969</v>
      </c>
    </row>
    <row r="364" customFormat="false" ht="15" hidden="false" customHeight="false" outlineLevel="0" collapsed="false">
      <c r="A364" s="0" t="n">
        <f aca="false">A363+5</f>
        <v>2070</v>
      </c>
      <c r="B364" s="0" t="n">
        <f aca="false">(A364-$B$21)^2</f>
        <v>672400</v>
      </c>
      <c r="C364" s="0" t="n">
        <f aca="false">$B$23*SQRT(1+(1/18)+(B364/$D$21))</f>
        <v>0.0821626388485929</v>
      </c>
      <c r="D364" s="0" t="n">
        <f aca="false">(0.00451*A364)-1.7651</f>
        <v>7.5706</v>
      </c>
      <c r="E364" s="0" t="n">
        <f aca="false">D364-($I$28*C364)</f>
        <v>7.39641520564098</v>
      </c>
      <c r="F364" s="0" t="n">
        <f aca="false">D364+($I$28*C364)</f>
        <v>7.74478479435902</v>
      </c>
    </row>
    <row r="365" customFormat="false" ht="15" hidden="false" customHeight="false" outlineLevel="0" collapsed="false">
      <c r="A365" s="0" t="n">
        <f aca="false">A364+5</f>
        <v>2075</v>
      </c>
      <c r="B365" s="0" t="n">
        <f aca="false">(A365-$B$21)^2</f>
        <v>680625</v>
      </c>
      <c r="C365" s="0" t="n">
        <f aca="false">$B$23*SQRT(1+(1/18)+(B365/$D$21))</f>
        <v>0.0822223167906141</v>
      </c>
      <c r="D365" s="0" t="n">
        <f aca="false">(0.00451*A365)-1.7651</f>
        <v>7.59315</v>
      </c>
      <c r="E365" s="0" t="n">
        <f aca="false">D365-($I$28*C365)</f>
        <v>7.4188386884039</v>
      </c>
      <c r="F365" s="0" t="n">
        <f aca="false">D365+($I$28*C365)</f>
        <v>7.7674613115961</v>
      </c>
    </row>
    <row r="366" customFormat="false" ht="15" hidden="false" customHeight="false" outlineLevel="0" collapsed="false">
      <c r="A366" s="0" t="n">
        <f aca="false">A365+5</f>
        <v>2080</v>
      </c>
      <c r="B366" s="0" t="n">
        <f aca="false">(A366-$B$21)^2</f>
        <v>688900</v>
      </c>
      <c r="C366" s="0" t="n">
        <f aca="false">$B$23*SQRT(1+(1/18)+(B366/$D$21))</f>
        <v>0.0822823138376267</v>
      </c>
      <c r="D366" s="0" t="n">
        <f aca="false">(0.00451*A366)-1.7651</f>
        <v>7.6157</v>
      </c>
      <c r="E366" s="0" t="n">
        <f aca="false">D366-($I$28*C366)</f>
        <v>7.44126149466423</v>
      </c>
      <c r="F366" s="0" t="n">
        <f aca="false">D366+($I$28*C366)</f>
        <v>7.79013850533577</v>
      </c>
    </row>
    <row r="367" customFormat="false" ht="15" hidden="false" customHeight="false" outlineLevel="0" collapsed="false">
      <c r="A367" s="0" t="n">
        <f aca="false">A366+5</f>
        <v>2085</v>
      </c>
      <c r="B367" s="0" t="n">
        <f aca="false">(A367-$B$21)^2</f>
        <v>697225</v>
      </c>
      <c r="C367" s="0" t="n">
        <f aca="false">$B$23*SQRT(1+(1/18)+(B367/$D$21))</f>
        <v>0.0823426292921052</v>
      </c>
      <c r="D367" s="0" t="n">
        <f aca="false">(0.00451*A367)-1.7651</f>
        <v>7.63825</v>
      </c>
      <c r="E367" s="0" t="n">
        <f aca="false">D367-($I$28*C367)</f>
        <v>7.46368362590074</v>
      </c>
      <c r="F367" s="0" t="n">
        <f aca="false">D367+($I$28*C367)</f>
        <v>7.81281637409926</v>
      </c>
    </row>
    <row r="368" customFormat="false" ht="15" hidden="false" customHeight="false" outlineLevel="0" collapsed="false">
      <c r="A368" s="0" t="n">
        <f aca="false">A367+5</f>
        <v>2090</v>
      </c>
      <c r="B368" s="0" t="n">
        <f aca="false">(A368-$B$21)^2</f>
        <v>705600</v>
      </c>
      <c r="C368" s="0" t="n">
        <f aca="false">$B$23*SQRT(1+(1/18)+(B368/$D$21))</f>
        <v>0.0824032624548702</v>
      </c>
      <c r="D368" s="0" t="n">
        <f aca="false">(0.00451*A368)-1.7651</f>
        <v>7.6608</v>
      </c>
      <c r="E368" s="0" t="n">
        <f aca="false">D368-($I$28*C368)</f>
        <v>7.48610508359568</v>
      </c>
      <c r="F368" s="0" t="n">
        <f aca="false">D368+($I$28*C368)</f>
        <v>7.83549491640433</v>
      </c>
    </row>
    <row r="369" customFormat="false" ht="15" hidden="false" customHeight="false" outlineLevel="0" collapsed="false">
      <c r="A369" s="0" t="n">
        <f aca="false">A368+5</f>
        <v>2095</v>
      </c>
      <c r="B369" s="0" t="n">
        <f aca="false">(A369-$B$21)^2</f>
        <v>714025</v>
      </c>
      <c r="C369" s="0" t="n">
        <f aca="false">$B$23*SQRT(1+(1/18)+(B369/$D$21))</f>
        <v>0.082464212625121</v>
      </c>
      <c r="D369" s="0" t="n">
        <f aca="false">(0.00451*A369)-1.7651</f>
        <v>7.68335</v>
      </c>
      <c r="E369" s="0" t="n">
        <f aca="false">D369-($I$28*C369)</f>
        <v>7.50852586923474</v>
      </c>
      <c r="F369" s="0" t="n">
        <f aca="false">D369+($I$28*C369)</f>
        <v>7.85817413076526</v>
      </c>
    </row>
    <row r="370" customFormat="false" ht="15" hidden="false" customHeight="false" outlineLevel="0" collapsed="false">
      <c r="A370" s="0" t="n">
        <f aca="false">A369+5</f>
        <v>2100</v>
      </c>
      <c r="B370" s="0" t="n">
        <f aca="false">(A370-$B$21)^2</f>
        <v>722500</v>
      </c>
      <c r="C370" s="0" t="n">
        <f aca="false">$B$23*SQRT(1+(1/18)+(B370/$D$21))</f>
        <v>0.0825254791004686</v>
      </c>
      <c r="D370" s="0" t="n">
        <f aca="false">(0.00451*A370)-1.7651</f>
        <v>7.7059</v>
      </c>
      <c r="E370" s="0" t="n">
        <f aca="false">D370-($I$28*C370)</f>
        <v>7.53094598430701</v>
      </c>
      <c r="F370" s="0" t="n">
        <f aca="false">D370+($I$28*C370)</f>
        <v>7.88085401569299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0" width="11.29"/>
    <col collapsed="false" customWidth="true" hidden="false" outlineLevel="0" max="3" min="3" style="0" width="19.14"/>
    <col collapsed="false" customWidth="true" hidden="false" outlineLevel="0" max="16" min="16" style="0" width="15.86"/>
  </cols>
  <sheetData>
    <row r="1" customFormat="false" ht="15" hidden="false" customHeight="false" outlineLevel="0" collapsed="false">
      <c r="B1" s="0" t="s">
        <v>66</v>
      </c>
      <c r="C1" s="0" t="s">
        <v>67</v>
      </c>
      <c r="D1" s="0" t="s">
        <v>55</v>
      </c>
      <c r="F1" s="22" t="n">
        <v>0.95</v>
      </c>
      <c r="G1" s="0" t="s">
        <v>59</v>
      </c>
      <c r="H1" s="3" t="n">
        <v>2.12</v>
      </c>
    </row>
    <row r="2" customFormat="false" ht="15" hidden="false" customHeight="false" outlineLevel="0" collapsed="false">
      <c r="B2" s="0" t="n">
        <v>1250</v>
      </c>
      <c r="C2" s="0" t="n">
        <v>4725000</v>
      </c>
      <c r="D2" s="0" t="n">
        <v>0.07507077625</v>
      </c>
    </row>
    <row r="3" customFormat="false" ht="15" hidden="false" customHeight="false" outlineLevel="0" collapsed="false">
      <c r="D3" s="0" t="s">
        <v>58</v>
      </c>
    </row>
    <row r="4" customFormat="false" ht="15" hidden="false" customHeight="false" outlineLevel="0" collapsed="false">
      <c r="A4" s="0" t="s">
        <v>68</v>
      </c>
      <c r="B4" s="0" t="s">
        <v>61</v>
      </c>
      <c r="C4" s="0" t="s">
        <v>62</v>
      </c>
      <c r="D4" s="0" t="s">
        <v>63</v>
      </c>
      <c r="E4" s="0" t="s">
        <v>64</v>
      </c>
      <c r="F4" s="0" t="s">
        <v>65</v>
      </c>
    </row>
    <row r="5" customFormat="false" ht="15" hidden="false" customHeight="false" outlineLevel="0" collapsed="false">
      <c r="A5" s="0" t="n">
        <v>0</v>
      </c>
      <c r="B5" s="0" t="n">
        <f aca="false">(A5-$B$2)^2</f>
        <v>1562500</v>
      </c>
      <c r="C5" s="0" t="n">
        <f aca="false">$D$2*SQRT(1+(1/18)+(B5/$C$2))</f>
        <v>0.0883874592799611</v>
      </c>
      <c r="D5" s="0" t="n">
        <f aca="false">(0.00451*A5)-1.7651</f>
        <v>-1.7651</v>
      </c>
      <c r="E5" s="0" t="n">
        <f aca="false">D5-($H$1*C5)</f>
        <v>-1.95248141367352</v>
      </c>
      <c r="F5" s="0" t="n">
        <f aca="false">D5+($H$1*C5)</f>
        <v>-1.57771858632648</v>
      </c>
      <c r="P5" s="0" t="s">
        <v>69</v>
      </c>
      <c r="Q5" s="0" t="n">
        <f aca="false">ANOVA!B21</f>
        <v>3.87368888888889</v>
      </c>
    </row>
    <row r="6" customFormat="false" ht="15" hidden="false" customHeight="false" outlineLevel="0" collapsed="false">
      <c r="A6" s="0" t="n">
        <f aca="false">A5+20</f>
        <v>20</v>
      </c>
      <c r="B6" s="0" t="n">
        <f aca="false">(A6-$B$2)^2</f>
        <v>1512900</v>
      </c>
      <c r="C6" s="0" t="n">
        <f aca="false">$D$2*SQRT(1+(1/18)+(B6/$C$2))</f>
        <v>0.0880521654579095</v>
      </c>
      <c r="D6" s="0" t="n">
        <f aca="false">(0.00451*A6)-1.7651</f>
        <v>-1.6749</v>
      </c>
      <c r="E6" s="0" t="n">
        <f aca="false">D6-($H$1*C6)</f>
        <v>-1.86157059077077</v>
      </c>
      <c r="F6" s="0" t="n">
        <f aca="false">D6+($H$1*C6)</f>
        <v>-1.48822940922923</v>
      </c>
      <c r="P6" s="0" t="s">
        <v>70</v>
      </c>
      <c r="Q6" s="0" t="n">
        <v>-1.7651</v>
      </c>
    </row>
    <row r="7" customFormat="false" ht="15" hidden="false" customHeight="false" outlineLevel="0" collapsed="false">
      <c r="A7" s="0" t="n">
        <f aca="false">A6+20</f>
        <v>40</v>
      </c>
      <c r="B7" s="0" t="n">
        <f aca="false">(A7-$B$2)^2</f>
        <v>1464100</v>
      </c>
      <c r="C7" s="0" t="n">
        <f aca="false">$D$2*SQRT(1+(1/18)+(B7/$C$2))</f>
        <v>0.0877210288641209</v>
      </c>
      <c r="D7" s="0" t="n">
        <f aca="false">(0.00451*A7)-1.7651</f>
        <v>-1.5847</v>
      </c>
      <c r="E7" s="0" t="n">
        <f aca="false">D7-($H$1*C7)</f>
        <v>-1.77066858119194</v>
      </c>
      <c r="F7" s="0" t="n">
        <f aca="false">D7+($H$1*C7)</f>
        <v>-1.39873141880806</v>
      </c>
      <c r="P7" s="0" t="s">
        <v>71</v>
      </c>
      <c r="Q7" s="0" t="n">
        <v>0.0045</v>
      </c>
    </row>
    <row r="8" customFormat="false" ht="15" hidden="false" customHeight="false" outlineLevel="0" collapsed="false">
      <c r="A8" s="0" t="n">
        <f aca="false">A7+20</f>
        <v>60</v>
      </c>
      <c r="B8" s="0" t="n">
        <f aca="false">(A8-$B$2)^2</f>
        <v>1416100</v>
      </c>
      <c r="C8" s="0" t="n">
        <f aca="false">$D$2*SQRT(1+(1/18)+(B8/$C$2))</f>
        <v>0.0873940967538733</v>
      </c>
      <c r="D8" s="0" t="n">
        <f aca="false">(0.00451*A8)-1.7651</f>
        <v>-1.4945</v>
      </c>
      <c r="E8" s="0" t="n">
        <f aca="false">D8-($H$1*C8)</f>
        <v>-1.67977548511821</v>
      </c>
      <c r="F8" s="0" t="n">
        <f aca="false">D8+($H$1*C8)</f>
        <v>-1.30922451488179</v>
      </c>
      <c r="P8" s="0" t="s">
        <v>72</v>
      </c>
      <c r="Q8" s="0" t="n">
        <f aca="false">(2*D2*H1/Q7)*SQRT(1+(1/18)+((F5-Q5)^2/(Q7^2*C2)))</f>
        <v>82.6747851819488</v>
      </c>
    </row>
    <row r="9" customFormat="false" ht="15" hidden="false" customHeight="false" outlineLevel="0" collapsed="false">
      <c r="A9" s="0" t="n">
        <f aca="false">A8+20</f>
        <v>80</v>
      </c>
      <c r="B9" s="0" t="n">
        <f aca="false">(A9-$B$2)^2</f>
        <v>1368900</v>
      </c>
      <c r="C9" s="0" t="n">
        <f aca="false">$D$2*SQRT(1+(1/18)+(B9/$C$2))</f>
        <v>0.087071416487636</v>
      </c>
      <c r="D9" s="0" t="n">
        <f aca="false">(0.00451*A9)-1.7651</f>
        <v>-1.4043</v>
      </c>
      <c r="E9" s="0" t="n">
        <f aca="false">D9-($H$1*C9)</f>
        <v>-1.58889140295379</v>
      </c>
      <c r="F9" s="0" t="n">
        <f aca="false">D9+($H$1*C9)</f>
        <v>-1.21970859704621</v>
      </c>
      <c r="P9" s="0" t="s">
        <v>73</v>
      </c>
      <c r="Q9" s="0" t="n">
        <f aca="false">(H1*D2/Q7)*SQRT(1+(1/18)+((Q5^2)/(Q7^2*C2)))</f>
        <v>38.9416374954423</v>
      </c>
    </row>
    <row r="10" customFormat="false" ht="15" hidden="false" customHeight="false" outlineLevel="0" collapsed="false">
      <c r="A10" s="0" t="n">
        <f aca="false">A9+20</f>
        <v>100</v>
      </c>
      <c r="B10" s="0" t="n">
        <f aca="false">(A10-$B$2)^2</f>
        <v>1322500</v>
      </c>
      <c r="C10" s="0" t="n">
        <f aca="false">$D$2*SQRT(1+(1/18)+(B10/$C$2))</f>
        <v>0.0867530355099691</v>
      </c>
      <c r="D10" s="0" t="n">
        <f aca="false">(0.00451*A10)-1.7651</f>
        <v>-1.3141</v>
      </c>
      <c r="E10" s="0" t="n">
        <f aca="false">D10-($H$1*C10)</f>
        <v>-1.49801643528113</v>
      </c>
      <c r="F10" s="0" t="n">
        <f aca="false">D10+($H$1*C10)</f>
        <v>-1.13018356471887</v>
      </c>
      <c r="P10" s="0" t="s">
        <v>74</v>
      </c>
      <c r="Q10" s="0" t="n">
        <f aca="false">Q6+(Q7*Q9)</f>
        <v>-1.58986263127051</v>
      </c>
    </row>
    <row r="11" customFormat="false" ht="15" hidden="false" customHeight="false" outlineLevel="0" collapsed="false">
      <c r="A11" s="0" t="n">
        <f aca="false">A10+20</f>
        <v>120</v>
      </c>
      <c r="B11" s="0" t="n">
        <f aca="false">(A11-$B$2)^2</f>
        <v>1276900</v>
      </c>
      <c r="C11" s="0" t="n">
        <f aca="false">$D$2*SQRT(1+(1/18)+(B11/$C$2))</f>
        <v>0.0864390013276248</v>
      </c>
      <c r="D11" s="0" t="n">
        <f aca="false">(0.00451*A11)-1.7651</f>
        <v>-1.2239</v>
      </c>
      <c r="E11" s="0" t="n">
        <f aca="false">D11-($H$1*C11)</f>
        <v>-1.40715068281456</v>
      </c>
      <c r="F11" s="0" t="n">
        <f aca="false">D11+($H$1*C11)</f>
        <v>-1.04064931718544</v>
      </c>
      <c r="P11" s="0" t="s">
        <v>75</v>
      </c>
      <c r="Q11" s="0" t="n">
        <f aca="false">Q10+((H1*D2)*SQRT(1+(1/18)+(((Q9-B2)^2)/C2)))</f>
        <v>-1.40385712352827</v>
      </c>
    </row>
    <row r="12" customFormat="false" ht="15" hidden="false" customHeight="false" outlineLevel="0" collapsed="false">
      <c r="A12" s="0" t="n">
        <f aca="false">A11+20</f>
        <v>140</v>
      </c>
      <c r="B12" s="0" t="n">
        <f aca="false">(A12-$B$2)^2</f>
        <v>1232100</v>
      </c>
      <c r="C12" s="0" t="n">
        <f aca="false">$D$2*SQRT(1+(1/18)+(B12/$C$2))</f>
        <v>0.0861293614868522</v>
      </c>
      <c r="D12" s="0" t="n">
        <f aca="false">(0.00451*A12)-1.7651</f>
        <v>-1.1337</v>
      </c>
      <c r="E12" s="0" t="n">
        <f aca="false">D12-($H$1*C12)</f>
        <v>-1.31629424635213</v>
      </c>
      <c r="F12" s="0" t="n">
        <f aca="false">D12+($H$1*C12)</f>
        <v>-0.951105753647873</v>
      </c>
      <c r="P12" s="0" t="s">
        <v>76</v>
      </c>
      <c r="Q12" s="0" t="n">
        <f aca="false">(Q11-Q6)/Q7</f>
        <v>80.2761947714964</v>
      </c>
    </row>
    <row r="13" customFormat="false" ht="15" hidden="false" customHeight="false" outlineLevel="0" collapsed="false">
      <c r="A13" s="0" t="n">
        <f aca="false">A12+20</f>
        <v>160</v>
      </c>
      <c r="B13" s="0" t="n">
        <f aca="false">(A13-$B$2)^2</f>
        <v>1188100</v>
      </c>
      <c r="C13" s="0" t="n">
        <f aca="false">$D$2*SQRT(1+(1/18)+(B13/$C$2))</f>
        <v>0.0858241635499069</v>
      </c>
      <c r="D13" s="0" t="n">
        <f aca="false">(0.00451*A13)-1.7651</f>
        <v>-1.0435</v>
      </c>
      <c r="E13" s="0" t="n">
        <f aca="false">D13-($H$1*C13)</f>
        <v>-1.2254472267258</v>
      </c>
      <c r="F13" s="0" t="n">
        <f aca="false">D13+($H$1*C13)</f>
        <v>-0.861552773274197</v>
      </c>
      <c r="P13" s="0" t="s">
        <v>77</v>
      </c>
      <c r="Q13" s="0" t="n">
        <f aca="false">Q12+((H1*D2/Q7)*SQRT(1+(1/18)+((Q11-Q5)^2/(Q7^2*C2))))</f>
        <v>121.317576920935</v>
      </c>
    </row>
    <row r="14" customFormat="false" ht="15" hidden="false" customHeight="false" outlineLevel="0" collapsed="false">
      <c r="A14" s="0" t="n">
        <f aca="false">A13+20</f>
        <v>180</v>
      </c>
      <c r="B14" s="0" t="n">
        <f aca="false">(A14-$B$2)^2</f>
        <v>1144900</v>
      </c>
      <c r="C14" s="0" t="n">
        <f aca="false">$D$2*SQRT(1+(1/18)+(B14/$C$2))</f>
        <v>0.0855234550707703</v>
      </c>
      <c r="D14" s="0" t="n">
        <f aca="false">(0.00451*A14)-1.7651</f>
        <v>-0.9533</v>
      </c>
      <c r="E14" s="0" t="n">
        <f aca="false">D14-($H$1*C14)</f>
        <v>-1.13460972475003</v>
      </c>
      <c r="F14" s="0" t="n">
        <f aca="false">D14+($H$1*C14)</f>
        <v>-0.771990275249967</v>
      </c>
    </row>
    <row r="15" customFormat="false" ht="15" hidden="false" customHeight="false" outlineLevel="0" collapsed="false">
      <c r="A15" s="0" t="n">
        <f aca="false">A14+20</f>
        <v>200</v>
      </c>
      <c r="B15" s="0" t="n">
        <f aca="false">(A15-$B$2)^2</f>
        <v>1102500</v>
      </c>
      <c r="C15" s="0" t="n">
        <f aca="false">$D$2*SQRT(1+(1/18)+(B15/$C$2))</f>
        <v>0.0852272835700841</v>
      </c>
      <c r="D15" s="0" t="n">
        <f aca="false">(0.00451*A15)-1.7651</f>
        <v>-0.8631</v>
      </c>
      <c r="E15" s="0" t="n">
        <f aca="false">D15-($H$1*C15)</f>
        <v>-1.04378184116858</v>
      </c>
      <c r="F15" s="0" t="n">
        <f aca="false">D15+($H$1*C15)</f>
        <v>-0.682418158831422</v>
      </c>
    </row>
    <row r="16" customFormat="false" ht="15" hidden="false" customHeight="false" outlineLevel="0" collapsed="false">
      <c r="A16" s="0" t="n">
        <f aca="false">A15+20</f>
        <v>220</v>
      </c>
      <c r="B16" s="0" t="n">
        <f aca="false">(A16-$B$2)^2</f>
        <v>1060900</v>
      </c>
      <c r="C16" s="0" t="n">
        <f aca="false">$D$2*SQRT(1+(1/18)+(B16/$C$2))</f>
        <v>0.0849356965093098</v>
      </c>
      <c r="D16" s="0" t="n">
        <f aca="false">(0.00451*A16)-1.7651</f>
        <v>-0.7729</v>
      </c>
      <c r="E16" s="0" t="n">
        <f aca="false">D16-($H$1*C16)</f>
        <v>-0.952963676599737</v>
      </c>
      <c r="F16" s="0" t="n">
        <f aca="false">D16+($H$1*C16)</f>
        <v>-0.592836323400263</v>
      </c>
    </row>
    <row r="17" customFormat="false" ht="15" hidden="false" customHeight="false" outlineLevel="0" collapsed="false">
      <c r="A17" s="0" t="n">
        <f aca="false">A16+20</f>
        <v>240</v>
      </c>
      <c r="B17" s="0" t="n">
        <f aca="false">(A17-$B$2)^2</f>
        <v>1020100</v>
      </c>
      <c r="C17" s="0" t="n">
        <f aca="false">$D$2*SQRT(1+(1/18)+(B17/$C$2))</f>
        <v>0.0846487412641215</v>
      </c>
      <c r="D17" s="0" t="n">
        <f aca="false">(0.00451*A17)-1.7651</f>
        <v>-0.6827</v>
      </c>
      <c r="E17" s="0" t="n">
        <f aca="false">D17-($H$1*C17)</f>
        <v>-0.862155331479938</v>
      </c>
      <c r="F17" s="0" t="n">
        <f aca="false">D17+($H$1*C17)</f>
        <v>-0.503244668520062</v>
      </c>
    </row>
    <row r="18" customFormat="false" ht="15" hidden="false" customHeight="false" outlineLevel="0" collapsed="false">
      <c r="A18" s="0" t="n">
        <f aca="false">A17+20</f>
        <v>260</v>
      </c>
      <c r="B18" s="0" t="n">
        <f aca="false">(A18-$B$2)^2</f>
        <v>980100</v>
      </c>
      <c r="C18" s="0" t="n">
        <f aca="false">$D$2*SQRT(1+(1/18)+(B18/$C$2))</f>
        <v>0.0843664650970478</v>
      </c>
      <c r="D18" s="0" t="n">
        <f aca="false">(0.00451*A18)-1.7651</f>
        <v>-0.5925</v>
      </c>
      <c r="E18" s="0" t="n">
        <f aca="false">D18-($H$1*C18)</f>
        <v>-0.771356906005741</v>
      </c>
      <c r="F18" s="0" t="n">
        <f aca="false">D18+($H$1*C18)</f>
        <v>-0.413643093994258</v>
      </c>
    </row>
    <row r="19" customFormat="false" ht="15" hidden="false" customHeight="false" outlineLevel="0" collapsed="false">
      <c r="A19" s="0" t="n">
        <f aca="false">A18+20</f>
        <v>280</v>
      </c>
      <c r="B19" s="0" t="n">
        <f aca="false">(A19-$B$2)^2</f>
        <v>940900</v>
      </c>
      <c r="C19" s="0" t="n">
        <f aca="false">$D$2*SQRT(1+(1/18)+(B19/$C$2))</f>
        <v>0.0840889151293746</v>
      </c>
      <c r="D19" s="0" t="n">
        <f aca="false">(0.00451*A19)-1.7651</f>
        <v>-0.5023</v>
      </c>
      <c r="E19" s="0" t="n">
        <f aca="false">D19-($H$1*C19)</f>
        <v>-0.680568500074274</v>
      </c>
      <c r="F19" s="0" t="n">
        <f aca="false">D19+($H$1*C19)</f>
        <v>-0.324031499925726</v>
      </c>
    </row>
    <row r="20" customFormat="false" ht="15" hidden="false" customHeight="false" outlineLevel="0" collapsed="false">
      <c r="A20" s="0" t="n">
        <f aca="false">A19+20</f>
        <v>300</v>
      </c>
      <c r="B20" s="0" t="n">
        <f aca="false">(A20-$B$2)^2</f>
        <v>902500</v>
      </c>
      <c r="C20" s="0" t="n">
        <f aca="false">$D$2*SQRT(1+(1/18)+(B20/$C$2))</f>
        <v>0.0838161383123292</v>
      </c>
      <c r="D20" s="0" t="n">
        <f aca="false">(0.00451*A20)-1.7651</f>
        <v>-0.4121</v>
      </c>
      <c r="E20" s="0" t="n">
        <f aca="false">D20-($H$1*C20)</f>
        <v>-0.589790213222138</v>
      </c>
      <c r="F20" s="0" t="n">
        <f aca="false">D20+($H$1*C20)</f>
        <v>-0.234409786777862</v>
      </c>
    </row>
    <row r="21" customFormat="false" ht="15" hidden="false" customHeight="false" outlineLevel="0" collapsed="false">
      <c r="A21" s="0" t="n">
        <f aca="false">A20+20</f>
        <v>320</v>
      </c>
      <c r="B21" s="0" t="n">
        <f aca="false">(A21-$B$2)^2</f>
        <v>864900</v>
      </c>
      <c r="C21" s="0" t="n">
        <f aca="false">$D$2*SQRT(1+(1/18)+(B21/$C$2))</f>
        <v>0.083548181397565</v>
      </c>
      <c r="D21" s="0" t="n">
        <f aca="false">(0.00451*A21)-1.7651</f>
        <v>-0.3219</v>
      </c>
      <c r="E21" s="0" t="n">
        <f aca="false">D21-($H$1*C21)</f>
        <v>-0.499022144562838</v>
      </c>
      <c r="F21" s="0" t="n">
        <f aca="false">D21+($H$1*C21)</f>
        <v>-0.144777855437162</v>
      </c>
    </row>
    <row r="22" customFormat="false" ht="15" hidden="false" customHeight="false" outlineLevel="0" collapsed="false">
      <c r="A22" s="0" t="n">
        <f aca="false">A21+20</f>
        <v>340</v>
      </c>
      <c r="B22" s="0" t="n">
        <f aca="false">(A22-$B$2)^2</f>
        <v>828100</v>
      </c>
      <c r="C22" s="0" t="n">
        <f aca="false">$D$2*SQRT(1+(1/18)+(B22/$C$2))</f>
        <v>0.083285090906968</v>
      </c>
      <c r="D22" s="0" t="n">
        <f aca="false">(0.00451*A22)-1.7651</f>
        <v>-0.2317</v>
      </c>
      <c r="E22" s="0" t="n">
        <f aca="false">D22-($H$1*C22)</f>
        <v>-0.408264392722772</v>
      </c>
      <c r="F22" s="0" t="n">
        <f aca="false">D22+($H$1*C22)</f>
        <v>-0.0551356072772276</v>
      </c>
    </row>
    <row r="23" customFormat="false" ht="15" hidden="false" customHeight="false" outlineLevel="0" collapsed="false">
      <c r="A23" s="0" t="n">
        <f aca="false">A22+20</f>
        <v>360</v>
      </c>
      <c r="B23" s="0" t="n">
        <f aca="false">(A23-$B$2)^2</f>
        <v>792100</v>
      </c>
      <c r="C23" s="0" t="n">
        <f aca="false">$D$2*SQRT(1+(1/18)+(B23/$C$2))</f>
        <v>0.083026913101813</v>
      </c>
      <c r="D23" s="0" t="n">
        <f aca="false">(0.00451*A23)-1.7651</f>
        <v>-0.1415</v>
      </c>
      <c r="E23" s="0" t="n">
        <f aca="false">D23-($H$1*C23)</f>
        <v>-0.317517055775843</v>
      </c>
      <c r="F23" s="0" t="n">
        <f aca="false">D23+($H$1*C23)</f>
        <v>0.0345170557758438</v>
      </c>
    </row>
    <row r="24" customFormat="false" ht="15" hidden="false" customHeight="false" outlineLevel="0" collapsed="false">
      <c r="A24" s="0" t="n">
        <f aca="false">A23+20</f>
        <v>380</v>
      </c>
      <c r="B24" s="0" t="n">
        <f aca="false">(A24-$B$2)^2</f>
        <v>756900</v>
      </c>
      <c r="C24" s="0" t="n">
        <f aca="false">$D$2*SQRT(1+(1/18)+(B24/$C$2))</f>
        <v>0.082773693951295</v>
      </c>
      <c r="D24" s="0" t="n">
        <f aca="false">(0.00451*A24)-1.7651</f>
        <v>-0.0512999999999999</v>
      </c>
      <c r="E24" s="0" t="n">
        <f aca="false">D24-($H$1*C24)</f>
        <v>-0.226780231176745</v>
      </c>
      <c r="F24" s="0" t="n">
        <f aca="false">D24+($H$1*C24)</f>
        <v>0.124180231176746</v>
      </c>
    </row>
    <row r="25" customFormat="false" ht="15" hidden="false" customHeight="false" outlineLevel="0" collapsed="false">
      <c r="A25" s="0" t="n">
        <f aca="false">A24+20</f>
        <v>400</v>
      </c>
      <c r="B25" s="0" t="n">
        <f aca="false">(A25-$B$2)^2</f>
        <v>722500</v>
      </c>
      <c r="C25" s="0" t="n">
        <f aca="false">$D$2*SQRT(1+(1/18)+(B25/$C$2))</f>
        <v>0.0825254791004686</v>
      </c>
      <c r="D25" s="0" t="n">
        <f aca="false">(0.00451*A25)-1.7651</f>
        <v>0.0389000000000002</v>
      </c>
      <c r="E25" s="0" t="n">
        <f aca="false">D25-($H$1*C25)</f>
        <v>-0.136054015692993</v>
      </c>
      <c r="F25" s="0" t="n">
        <f aca="false">D25+($H$1*C25)</f>
        <v>0.213854015692994</v>
      </c>
    </row>
    <row r="26" customFormat="false" ht="15" hidden="false" customHeight="false" outlineLevel="0" collapsed="false">
      <c r="A26" s="0" t="n">
        <f aca="false">A25+20</f>
        <v>420</v>
      </c>
      <c r="B26" s="0" t="n">
        <f aca="false">(A26-$B$2)^2</f>
        <v>688900</v>
      </c>
      <c r="C26" s="0" t="n">
        <f aca="false">$D$2*SQRT(1+(1/18)+(B26/$C$2))</f>
        <v>0.0822823138376267</v>
      </c>
      <c r="D26" s="0" t="n">
        <f aca="false">(0.00451*A26)-1.7651</f>
        <v>0.1291</v>
      </c>
      <c r="E26" s="0" t="n">
        <f aca="false">D26-($H$1*C26)</f>
        <v>-0.0453385053357683</v>
      </c>
      <c r="F26" s="0" t="n">
        <f aca="false">D26+($H$1*C26)</f>
        <v>0.303538505335769</v>
      </c>
    </row>
    <row r="27" customFormat="false" ht="15" hidden="false" customHeight="false" outlineLevel="0" collapsed="false">
      <c r="A27" s="0" t="n">
        <f aca="false">A26+20</f>
        <v>440</v>
      </c>
      <c r="B27" s="0" t="n">
        <f aca="false">(A27-$B$2)^2</f>
        <v>656100</v>
      </c>
      <c r="C27" s="0" t="n">
        <f aca="false">$D$2*SQRT(1+(1/18)+(B27/$C$2))</f>
        <v>0.0820442430611562</v>
      </c>
      <c r="D27" s="0" t="n">
        <f aca="false">(0.00451*A27)-1.7651</f>
        <v>0.2193</v>
      </c>
      <c r="E27" s="0" t="n">
        <f aca="false">D27-($H$1*C27)</f>
        <v>0.045366204710349</v>
      </c>
      <c r="F27" s="0" t="n">
        <f aca="false">D27+($H$1*C27)</f>
        <v>0.393233795289651</v>
      </c>
    </row>
    <row r="28" customFormat="false" ht="15" hidden="false" customHeight="false" outlineLevel="0" collapsed="false">
      <c r="A28" s="0" t="n">
        <f aca="false">A27+20</f>
        <v>460</v>
      </c>
      <c r="B28" s="0" t="n">
        <f aca="false">(A28-$B$2)^2</f>
        <v>624100</v>
      </c>
      <c r="C28" s="0" t="n">
        <f aca="false">$D$2*SQRT(1+(1/18)+(B28/$C$2))</f>
        <v>0.0818113112459092</v>
      </c>
      <c r="D28" s="0" t="n">
        <f aca="false">(0.00451*A28)-1.7651</f>
        <v>0.3095</v>
      </c>
      <c r="E28" s="0" t="n">
        <f aca="false">D28-($H$1*C28)</f>
        <v>0.136060020158673</v>
      </c>
      <c r="F28" s="0" t="n">
        <f aca="false">D28+($H$1*C28)</f>
        <v>0.482939979841328</v>
      </c>
    </row>
    <row r="29" customFormat="false" ht="15" hidden="false" customHeight="false" outlineLevel="0" collapsed="false">
      <c r="A29" s="0" t="n">
        <f aca="false">A28+20</f>
        <v>480</v>
      </c>
      <c r="B29" s="0" t="n">
        <f aca="false">(A29-$B$2)^2</f>
        <v>592900</v>
      </c>
      <c r="C29" s="0" t="n">
        <f aca="false">$D$2*SQRT(1+(1/18)+(B29/$C$2))</f>
        <v>0.0815835624091309</v>
      </c>
      <c r="D29" s="0" t="n">
        <f aca="false">(0.00451*A29)-1.7651</f>
        <v>0.3997</v>
      </c>
      <c r="E29" s="0" t="n">
        <f aca="false">D29-($H$1*C29)</f>
        <v>0.226742847692643</v>
      </c>
      <c r="F29" s="0" t="n">
        <f aca="false">D29+($H$1*C29)</f>
        <v>0.572657152307358</v>
      </c>
    </row>
    <row r="30" customFormat="false" ht="15" hidden="false" customHeight="false" outlineLevel="0" collapsed="false">
      <c r="A30" s="0" t="n">
        <f aca="false">A29+20</f>
        <v>500</v>
      </c>
      <c r="B30" s="0" t="n">
        <f aca="false">(A30-$B$2)^2</f>
        <v>562500</v>
      </c>
      <c r="C30" s="0" t="n">
        <f aca="false">$D$2*SQRT(1+(1/18)+(B30/$C$2))</f>
        <v>0.0813610400759889</v>
      </c>
      <c r="D30" s="0" t="n">
        <f aca="false">(0.00451*A30)-1.7651</f>
        <v>0.4899</v>
      </c>
      <c r="E30" s="0" t="n">
        <f aca="false">D30-($H$1*C30)</f>
        <v>0.317414595038904</v>
      </c>
      <c r="F30" s="0" t="n">
        <f aca="false">D30+($H$1*C30)</f>
        <v>0.662385404961096</v>
      </c>
    </row>
    <row r="31" customFormat="false" ht="15" hidden="false" customHeight="false" outlineLevel="0" collapsed="false">
      <c r="A31" s="0" t="n">
        <f aca="false">A30+20</f>
        <v>520</v>
      </c>
      <c r="B31" s="0" t="n">
        <f aca="false">(A31-$B$2)^2</f>
        <v>532900</v>
      </c>
      <c r="C31" s="0" t="n">
        <f aca="false">$D$2*SQRT(1+(1/18)+(B31/$C$2))</f>
        <v>0.0811437872447506</v>
      </c>
      <c r="D31" s="0" t="n">
        <f aca="false">(0.00451*A31)-1.7651</f>
        <v>0.5801</v>
      </c>
      <c r="E31" s="0" t="n">
        <f aca="false">D31-($H$1*C31)</f>
        <v>0.408075171041129</v>
      </c>
      <c r="F31" s="0" t="n">
        <f aca="false">D31+($H$1*C31)</f>
        <v>0.752124828958872</v>
      </c>
    </row>
    <row r="32" customFormat="false" ht="15" hidden="false" customHeight="false" outlineLevel="0" collapsed="false">
      <c r="A32" s="0" t="n">
        <f aca="false">A31+20</f>
        <v>540</v>
      </c>
      <c r="B32" s="0" t="n">
        <f aca="false">(A32-$B$2)^2</f>
        <v>504100</v>
      </c>
      <c r="C32" s="0" t="n">
        <f aca="false">$D$2*SQRT(1+(1/18)+(B32/$C$2))</f>
        <v>0.0809318463516594</v>
      </c>
      <c r="D32" s="0" t="n">
        <f aca="false">(0.00451*A32)-1.7651</f>
        <v>0.6703</v>
      </c>
      <c r="E32" s="0" t="n">
        <f aca="false">D32-($H$1*C32)</f>
        <v>0.498724485734482</v>
      </c>
      <c r="F32" s="0" t="n">
        <f aca="false">D32+($H$1*C32)</f>
        <v>0.841875514265518</v>
      </c>
    </row>
    <row r="33" customFormat="false" ht="15" hidden="false" customHeight="false" outlineLevel="0" collapsed="false">
      <c r="A33" s="0" t="n">
        <f aca="false">A32+20</f>
        <v>560</v>
      </c>
      <c r="B33" s="0" t="n">
        <f aca="false">(A33-$B$2)^2</f>
        <v>476100</v>
      </c>
      <c r="C33" s="0" t="n">
        <f aca="false">$D$2*SQRT(1+(1/18)+(B33/$C$2))</f>
        <v>0.0807252592355605</v>
      </c>
      <c r="D33" s="0" t="n">
        <f aca="false">(0.00451*A33)-1.7651</f>
        <v>0.7605</v>
      </c>
      <c r="E33" s="0" t="n">
        <f aca="false">D33-($H$1*C33)</f>
        <v>0.589362450420612</v>
      </c>
      <c r="F33" s="0" t="n">
        <f aca="false">D33+($H$1*C33)</f>
        <v>0.931637549579388</v>
      </c>
    </row>
    <row r="34" customFormat="false" ht="15" hidden="false" customHeight="false" outlineLevel="0" collapsed="false">
      <c r="A34" s="0" t="n">
        <f aca="false">A33+20</f>
        <v>580</v>
      </c>
      <c r="B34" s="0" t="n">
        <f aca="false">(A34-$B$2)^2</f>
        <v>448900</v>
      </c>
      <c r="C34" s="0" t="n">
        <f aca="false">$D$2*SQRT(1+(1/18)+(B34/$C$2))</f>
        <v>0.080524067102332</v>
      </c>
      <c r="D34" s="0" t="n">
        <f aca="false">(0.00451*A34)-1.7651</f>
        <v>0.8507</v>
      </c>
      <c r="E34" s="0" t="n">
        <f aca="false">D34-($H$1*C34)</f>
        <v>0.679988977743056</v>
      </c>
      <c r="F34" s="0" t="n">
        <f aca="false">D34+($H$1*C34)</f>
        <v>1.02141102225694</v>
      </c>
    </row>
    <row r="35" customFormat="false" ht="15" hidden="false" customHeight="false" outlineLevel="0" collapsed="false">
      <c r="A35" s="0" t="n">
        <f aca="false">A34+20</f>
        <v>600</v>
      </c>
      <c r="B35" s="0" t="n">
        <f aca="false">(A35-$B$2)^2</f>
        <v>422500</v>
      </c>
      <c r="C35" s="0" t="n">
        <f aca="false">$D$2*SQRT(1+(1/18)+(B35/$C$2))</f>
        <v>0.0803283104891784</v>
      </c>
      <c r="D35" s="0" t="n">
        <f aca="false">(0.00451*A35)-1.7651</f>
        <v>0.9409</v>
      </c>
      <c r="E35" s="0" t="n">
        <f aca="false">D35-($H$1*C35)</f>
        <v>0.770603981762942</v>
      </c>
      <c r="F35" s="0" t="n">
        <f aca="false">D35+($H$1*C35)</f>
        <v>1.11119601823706</v>
      </c>
    </row>
    <row r="36" customFormat="false" ht="15" hidden="false" customHeight="false" outlineLevel="0" collapsed="false">
      <c r="A36" s="0" t="n">
        <f aca="false">A35+20</f>
        <v>620</v>
      </c>
      <c r="B36" s="0" t="n">
        <f aca="false">(A36-$B$2)^2</f>
        <v>396900</v>
      </c>
      <c r="C36" s="0" t="n">
        <f aca="false">$D$2*SQRT(1+(1/18)+(B36/$C$2))</f>
        <v>0.0801380292288462</v>
      </c>
      <c r="D36" s="0" t="n">
        <f aca="false">(0.00451*A36)-1.7651</f>
        <v>1.0311</v>
      </c>
      <c r="E36" s="0" t="n">
        <f aca="false">D36-($H$1*C36)</f>
        <v>0.861207378034846</v>
      </c>
      <c r="F36" s="0" t="n">
        <f aca="false">D36+($H$1*C36)</f>
        <v>1.20099262196515</v>
      </c>
    </row>
    <row r="37" customFormat="false" ht="15" hidden="false" customHeight="false" outlineLevel="0" collapsed="false">
      <c r="A37" s="0" t="n">
        <f aca="false">A36+20</f>
        <v>640</v>
      </c>
      <c r="B37" s="0" t="n">
        <f aca="false">(A37-$B$2)^2</f>
        <v>372100</v>
      </c>
      <c r="C37" s="0" t="n">
        <f aca="false">$D$2*SQRT(1+(1/18)+(B37/$C$2))</f>
        <v>0.0799532624138225</v>
      </c>
      <c r="D37" s="0" t="n">
        <f aca="false">(0.00451*A37)-1.7651</f>
        <v>1.1213</v>
      </c>
      <c r="E37" s="0" t="n">
        <f aca="false">D37-($H$1*C37)</f>
        <v>0.951799083682697</v>
      </c>
      <c r="F37" s="0" t="n">
        <f aca="false">D37+($H$1*C37)</f>
        <v>1.2908009163173</v>
      </c>
    </row>
    <row r="38" customFormat="false" ht="15" hidden="false" customHeight="false" outlineLevel="0" collapsed="false">
      <c r="A38" s="0" t="n">
        <f aca="false">A37+20</f>
        <v>660</v>
      </c>
      <c r="B38" s="0" t="n">
        <f aca="false">(A38-$B$2)^2</f>
        <v>348100</v>
      </c>
      <c r="C38" s="0" t="n">
        <f aca="false">$D$2*SQRT(1+(1/18)+(B38/$C$2))</f>
        <v>0.0797740483605807</v>
      </c>
      <c r="D38" s="0" t="n">
        <f aca="false">(0.00451*A38)-1.7651</f>
        <v>1.2115</v>
      </c>
      <c r="E38" s="0" t="n">
        <f aca="false">D38-($H$1*C38)</f>
        <v>1.04237901747557</v>
      </c>
      <c r="F38" s="0" t="n">
        <f aca="false">D38+($H$1*C38)</f>
        <v>1.38062098252443</v>
      </c>
    </row>
    <row r="39" customFormat="false" ht="15" hidden="false" customHeight="false" outlineLevel="0" collapsed="false">
      <c r="A39" s="0" t="n">
        <f aca="false">A38+20</f>
        <v>680</v>
      </c>
      <c r="B39" s="0" t="n">
        <f aca="false">(A39-$B$2)^2</f>
        <v>324900</v>
      </c>
      <c r="C39" s="0" t="n">
        <f aca="false">$D$2*SQRT(1+(1/18)+(B39/$C$2))</f>
        <v>0.0796004245739403</v>
      </c>
      <c r="D39" s="0" t="n">
        <f aca="false">(0.00451*A39)-1.7651</f>
        <v>1.3017</v>
      </c>
      <c r="E39" s="0" t="n">
        <f aca="false">D39-($H$1*C39)</f>
        <v>1.13294709990325</v>
      </c>
      <c r="F39" s="0" t="n">
        <f aca="false">D39+($H$1*C39)</f>
        <v>1.47045290009675</v>
      </c>
    </row>
    <row r="40" customFormat="false" ht="15" hidden="false" customHeight="false" outlineLevel="0" collapsed="false">
      <c r="A40" s="0" t="n">
        <f aca="false">A39+20</f>
        <v>700</v>
      </c>
      <c r="B40" s="0" t="n">
        <f aca="false">(A40-$B$2)^2</f>
        <v>302500</v>
      </c>
      <c r="C40" s="0" t="n">
        <f aca="false">$D$2*SQRT(1+(1/18)+(B40/$C$2))</f>
        <v>0.0794324277116055</v>
      </c>
      <c r="D40" s="0" t="n">
        <f aca="false">(0.00451*A40)-1.7651</f>
        <v>1.3919</v>
      </c>
      <c r="E40" s="0" t="n">
        <f aca="false">D40-($H$1*C40)</f>
        <v>1.2235032532514</v>
      </c>
      <c r="F40" s="0" t="n">
        <f aca="false">D40+($H$1*C40)</f>
        <v>1.5602967467486</v>
      </c>
    </row>
    <row r="41" customFormat="false" ht="15" hidden="false" customHeight="false" outlineLevel="0" collapsed="false">
      <c r="A41" s="0" t="n">
        <f aca="false">A40+20</f>
        <v>720</v>
      </c>
      <c r="B41" s="0" t="n">
        <f aca="false">(A41-$B$2)^2</f>
        <v>280900</v>
      </c>
      <c r="C41" s="0" t="n">
        <f aca="false">$D$2*SQRT(1+(1/18)+(B41/$C$2))</f>
        <v>0.0792700935489538</v>
      </c>
      <c r="D41" s="0" t="n">
        <f aca="false">(0.00451*A41)-1.7651</f>
        <v>1.4821</v>
      </c>
      <c r="E41" s="0" t="n">
        <f aca="false">D41-($H$1*C41)</f>
        <v>1.31404740167622</v>
      </c>
      <c r="F41" s="0" t="n">
        <f aca="false">D41+($H$1*C41)</f>
        <v>1.65015259832378</v>
      </c>
    </row>
    <row r="42" customFormat="false" ht="15" hidden="false" customHeight="false" outlineLevel="0" collapsed="false">
      <c r="A42" s="0" t="n">
        <f aca="false">A41+20</f>
        <v>740</v>
      </c>
      <c r="B42" s="0" t="n">
        <f aca="false">(A42-$B$2)^2</f>
        <v>260100</v>
      </c>
      <c r="C42" s="0" t="n">
        <f aca="false">$D$2*SQRT(1+(1/18)+(B42/$C$2))</f>
        <v>0.0791134569441439</v>
      </c>
      <c r="D42" s="0" t="n">
        <f aca="false">(0.00451*A42)-1.7651</f>
        <v>1.5723</v>
      </c>
      <c r="E42" s="0" t="n">
        <f aca="false">D42-($H$1*C42)</f>
        <v>1.40457947127842</v>
      </c>
      <c r="F42" s="0" t="n">
        <f aca="false">D42+($H$1*C42)</f>
        <v>1.74002052872159</v>
      </c>
    </row>
    <row r="43" customFormat="false" ht="15" hidden="false" customHeight="false" outlineLevel="0" collapsed="false">
      <c r="A43" s="0" t="n">
        <f aca="false">A42+20</f>
        <v>760</v>
      </c>
      <c r="B43" s="0" t="n">
        <f aca="false">(A43-$B$2)^2</f>
        <v>240100</v>
      </c>
      <c r="C43" s="0" t="n">
        <f aca="false">$D$2*SQRT(1+(1/18)+(B43/$C$2))</f>
        <v>0.0789625518036145</v>
      </c>
      <c r="D43" s="0" t="n">
        <f aca="false">(0.00451*A43)-1.7651</f>
        <v>1.6625</v>
      </c>
      <c r="E43" s="0" t="n">
        <f aca="false">D43-($H$1*C43)</f>
        <v>1.49509939017634</v>
      </c>
      <c r="F43" s="0" t="n">
        <f aca="false">D43+($H$1*C43)</f>
        <v>1.82990060982366</v>
      </c>
    </row>
    <row r="44" customFormat="false" ht="15" hidden="false" customHeight="false" outlineLevel="0" collapsed="false">
      <c r="A44" s="0" t="n">
        <f aca="false">A43+20</f>
        <v>780</v>
      </c>
      <c r="B44" s="0" t="n">
        <f aca="false">(A44-$B$2)^2</f>
        <v>220900</v>
      </c>
      <c r="C44" s="0" t="n">
        <f aca="false">$D$2*SQRT(1+(1/18)+(B44/$C$2))</f>
        <v>0.0788174110480462</v>
      </c>
      <c r="D44" s="0" t="n">
        <f aca="false">(0.00451*A44)-1.7651</f>
        <v>1.7527</v>
      </c>
      <c r="E44" s="0" t="n">
        <f aca="false">D44-($H$1*C44)</f>
        <v>1.58560708857814</v>
      </c>
      <c r="F44" s="0" t="n">
        <f aca="false">D44+($H$1*C44)</f>
        <v>1.91979291142186</v>
      </c>
    </row>
    <row r="45" customFormat="false" ht="15" hidden="false" customHeight="false" outlineLevel="0" collapsed="false">
      <c r="A45" s="0" t="n">
        <f aca="false">A44+20</f>
        <v>800</v>
      </c>
      <c r="B45" s="0" t="n">
        <f aca="false">(A45-$B$2)^2</f>
        <v>202500</v>
      </c>
      <c r="C45" s="0" t="n">
        <f aca="false">$D$2*SQRT(1+(1/18)+(B45/$C$2))</f>
        <v>0.0786780665788593</v>
      </c>
      <c r="D45" s="0" t="n">
        <f aca="false">(0.00451*A45)-1.7651</f>
        <v>1.8429</v>
      </c>
      <c r="E45" s="0" t="n">
        <f aca="false">D45-($H$1*C45)</f>
        <v>1.67610249885282</v>
      </c>
      <c r="F45" s="0" t="n">
        <f aca="false">D45+($H$1*C45)</f>
        <v>2.00969750114718</v>
      </c>
    </row>
    <row r="46" customFormat="false" ht="15" hidden="false" customHeight="false" outlineLevel="0" collapsed="false">
      <c r="A46" s="0" t="n">
        <f aca="false">A45+20</f>
        <v>820</v>
      </c>
      <c r="B46" s="0" t="n">
        <f aca="false">(A46-$B$2)^2</f>
        <v>184900</v>
      </c>
      <c r="C46" s="0" t="n">
        <f aca="false">$D$2*SQRT(1+(1/18)+(B46/$C$2))</f>
        <v>0.0785445492453216</v>
      </c>
      <c r="D46" s="0" t="n">
        <f aca="false">(0.00451*A46)-1.7651</f>
        <v>1.9331</v>
      </c>
      <c r="E46" s="0" t="n">
        <f aca="false">D46-($H$1*C46)</f>
        <v>1.76658555559992</v>
      </c>
      <c r="F46" s="0" t="n">
        <f aca="false">D46+($H$1*C46)</f>
        <v>2.09961444440008</v>
      </c>
    </row>
    <row r="47" customFormat="false" ht="15" hidden="false" customHeight="false" outlineLevel="0" collapsed="false">
      <c r="A47" s="0" t="n">
        <f aca="false">A46+20</f>
        <v>840</v>
      </c>
      <c r="B47" s="0" t="n">
        <f aca="false">(A47-$B$2)^2</f>
        <v>168100</v>
      </c>
      <c r="C47" s="0" t="n">
        <f aca="false">$D$2*SQRT(1+(1/18)+(B47/$C$2))</f>
        <v>0.0784168888123385</v>
      </c>
      <c r="D47" s="0" t="n">
        <f aca="false">(0.00451*A47)-1.7651</f>
        <v>2.0233</v>
      </c>
      <c r="E47" s="0" t="n">
        <f aca="false">D47-($H$1*C47)</f>
        <v>1.85705619571784</v>
      </c>
      <c r="F47" s="0" t="n">
        <f aca="false">D47+($H$1*C47)</f>
        <v>2.18954380428216</v>
      </c>
    </row>
    <row r="48" customFormat="false" ht="15" hidden="false" customHeight="false" outlineLevel="0" collapsed="false">
      <c r="A48" s="0" t="n">
        <f aca="false">A47+20</f>
        <v>860</v>
      </c>
      <c r="B48" s="0" t="n">
        <f aca="false">(A48-$B$2)^2</f>
        <v>152100</v>
      </c>
      <c r="C48" s="0" t="n">
        <f aca="false">$D$2*SQRT(1+(1/18)+(B48/$C$2))</f>
        <v>0.0782951139290002</v>
      </c>
      <c r="D48" s="0" t="n">
        <f aca="false">(0.00451*A48)-1.7651</f>
        <v>2.1135</v>
      </c>
      <c r="E48" s="0" t="n">
        <f aca="false">D48-($H$1*C48)</f>
        <v>1.94751435847052</v>
      </c>
      <c r="F48" s="0" t="n">
        <f aca="false">D48+($H$1*C48)</f>
        <v>2.27948564152948</v>
      </c>
    </row>
    <row r="49" customFormat="false" ht="15" hidden="false" customHeight="false" outlineLevel="0" collapsed="false">
      <c r="A49" s="0" t="n">
        <f aca="false">A48+20</f>
        <v>880</v>
      </c>
      <c r="B49" s="0" t="n">
        <f aca="false">(A49-$B$2)^2</f>
        <v>136900</v>
      </c>
      <c r="C49" s="0" t="n">
        <f aca="false">$D$2*SQRT(1+(1/18)+(B49/$C$2))</f>
        <v>0.0781792520979587</v>
      </c>
      <c r="D49" s="0" t="n">
        <f aca="false">(0.00451*A49)-1.7651</f>
        <v>2.2037</v>
      </c>
      <c r="E49" s="0" t="n">
        <f aca="false">D49-($H$1*C49)</f>
        <v>2.03795998555233</v>
      </c>
      <c r="F49" s="0" t="n">
        <f aca="false">D49+($H$1*C49)</f>
        <v>2.36944001444767</v>
      </c>
    </row>
    <row r="50" customFormat="false" ht="15" hidden="false" customHeight="false" outlineLevel="0" collapsed="false">
      <c r="A50" s="0" t="n">
        <f aca="false">A49+20</f>
        <v>900</v>
      </c>
      <c r="B50" s="0" t="n">
        <f aca="false">(A50-$B$2)^2</f>
        <v>122500</v>
      </c>
      <c r="C50" s="0" t="n">
        <f aca="false">$D$2*SQRT(1+(1/18)+(B50/$C$2))</f>
        <v>0.0780693296457054</v>
      </c>
      <c r="D50" s="0" t="n">
        <f aca="false">(0.00451*A50)-1.7651</f>
        <v>2.2939</v>
      </c>
      <c r="E50" s="0" t="n">
        <f aca="false">D50-($H$1*C50)</f>
        <v>2.12839302115111</v>
      </c>
      <c r="F50" s="0" t="n">
        <f aca="false">D50+($H$1*C50)</f>
        <v>2.4594069788489</v>
      </c>
    </row>
    <row r="51" customFormat="false" ht="15" hidden="false" customHeight="false" outlineLevel="0" collapsed="false">
      <c r="A51" s="0" t="n">
        <f aca="false">A50+20</f>
        <v>920</v>
      </c>
      <c r="B51" s="0" t="n">
        <f aca="false">(A51-$B$2)^2</f>
        <v>108900</v>
      </c>
      <c r="C51" s="0" t="n">
        <f aca="false">$D$2*SQRT(1+(1/18)+(B51/$C$2))</f>
        <v>0.0779653716938233</v>
      </c>
      <c r="D51" s="0" t="n">
        <f aca="false">(0.00451*A51)-1.7651</f>
        <v>2.3841</v>
      </c>
      <c r="E51" s="0" t="n">
        <f aca="false">D51-($H$1*C51)</f>
        <v>2.2188134120091</v>
      </c>
      <c r="F51" s="0" t="n">
        <f aca="false">D51+($H$1*C51)</f>
        <v>2.54938658799091</v>
      </c>
    </row>
    <row r="52" customFormat="false" ht="15" hidden="false" customHeight="false" outlineLevel="0" collapsed="false">
      <c r="A52" s="0" t="n">
        <f aca="false">A51+20</f>
        <v>940</v>
      </c>
      <c r="B52" s="0" t="n">
        <f aca="false">(A52-$B$2)^2</f>
        <v>96100</v>
      </c>
      <c r="C52" s="0" t="n">
        <f aca="false">$D$2*SQRT(1+(1/18)+(B52/$C$2))</f>
        <v>0.0778674021312821</v>
      </c>
      <c r="D52" s="0" t="n">
        <f aca="false">(0.00451*A52)-1.7651</f>
        <v>2.4743</v>
      </c>
      <c r="E52" s="0" t="n">
        <f aca="false">D52-($H$1*C52)</f>
        <v>2.30922110748168</v>
      </c>
      <c r="F52" s="0" t="n">
        <f aca="false">D52+($H$1*C52)</f>
        <v>2.63937889251832</v>
      </c>
    </row>
    <row r="53" customFormat="false" ht="15" hidden="false" customHeight="false" outlineLevel="0" collapsed="false">
      <c r="A53" s="0" t="n">
        <f aca="false">A52+20</f>
        <v>960</v>
      </c>
      <c r="B53" s="0" t="n">
        <f aca="false">(A53-$B$2)^2</f>
        <v>84100</v>
      </c>
      <c r="C53" s="0" t="n">
        <f aca="false">$D$2*SQRT(1+(1/18)+(B53/$C$2))</f>
        <v>0.0777754435878457</v>
      </c>
      <c r="D53" s="0" t="n">
        <f aca="false">(0.00451*A53)-1.7651</f>
        <v>2.5645</v>
      </c>
      <c r="E53" s="0" t="n">
        <f aca="false">D53-($H$1*C53)</f>
        <v>2.39961605959377</v>
      </c>
      <c r="F53" s="0" t="n">
        <f aca="false">D53+($H$1*C53)</f>
        <v>2.72938394040623</v>
      </c>
    </row>
    <row r="54" customFormat="false" ht="15" hidden="false" customHeight="false" outlineLevel="0" collapsed="false">
      <c r="A54" s="0" t="n">
        <f aca="false">A53+20</f>
        <v>980</v>
      </c>
      <c r="B54" s="0" t="n">
        <f aca="false">(A54-$B$2)^2</f>
        <v>72900</v>
      </c>
      <c r="C54" s="0" t="n">
        <f aca="false">$D$2*SQRT(1+(1/18)+(B54/$C$2))</f>
        <v>0.0776895174086575</v>
      </c>
      <c r="D54" s="0" t="n">
        <f aca="false">(0.00451*A54)-1.7651</f>
        <v>2.6547</v>
      </c>
      <c r="E54" s="0" t="n">
        <f aca="false">D54-($H$1*C54)</f>
        <v>2.48999822309365</v>
      </c>
      <c r="F54" s="0" t="n">
        <f aca="false">D54+($H$1*C54)</f>
        <v>2.81940177690635</v>
      </c>
    </row>
    <row r="55" customFormat="false" ht="15" hidden="false" customHeight="false" outlineLevel="0" collapsed="false">
      <c r="A55" s="0" t="n">
        <f aca="false">A54+20</f>
        <v>1000</v>
      </c>
      <c r="B55" s="0" t="n">
        <f aca="false">(A55-$B$2)^2</f>
        <v>62500</v>
      </c>
      <c r="C55" s="0" t="n">
        <f aca="false">$D$2*SQRT(1+(1/18)+(B55/$C$2))</f>
        <v>0.0776096436300709</v>
      </c>
      <c r="D55" s="0" t="n">
        <f aca="false">(0.00451*A55)-1.7651</f>
        <v>2.7449</v>
      </c>
      <c r="E55" s="0" t="n">
        <f aca="false">D55-($H$1*C55)</f>
        <v>2.58036755550425</v>
      </c>
      <c r="F55" s="0" t="n">
        <f aca="false">D55+($H$1*C55)</f>
        <v>2.90943244449575</v>
      </c>
    </row>
    <row r="56" customFormat="false" ht="15" hidden="false" customHeight="false" outlineLevel="0" collapsed="false">
      <c r="A56" s="0" t="n">
        <f aca="false">A55+20</f>
        <v>1020</v>
      </c>
      <c r="B56" s="0" t="n">
        <f aca="false">(A56-$B$2)^2</f>
        <v>52900</v>
      </c>
      <c r="C56" s="0" t="n">
        <f aca="false">$D$2*SQRT(1+(1/18)+(B56/$C$2))</f>
        <v>0.0775358409567839</v>
      </c>
      <c r="D56" s="0" t="n">
        <f aca="false">(0.00451*A56)-1.7651</f>
        <v>2.8351</v>
      </c>
      <c r="E56" s="0" t="n">
        <f aca="false">D56-($H$1*C56)</f>
        <v>2.67072401717162</v>
      </c>
      <c r="F56" s="0" t="n">
        <f aca="false">D56+($H$1*C56)</f>
        <v>2.99947598282838</v>
      </c>
    </row>
    <row r="57" customFormat="false" ht="15" hidden="false" customHeight="false" outlineLevel="0" collapsed="false">
      <c r="A57" s="0" t="n">
        <f aca="false">A56+20</f>
        <v>1040</v>
      </c>
      <c r="B57" s="0" t="n">
        <f aca="false">(A57-$B$2)^2</f>
        <v>44100</v>
      </c>
      <c r="C57" s="0" t="n">
        <f aca="false">$D$2*SQRT(1+(1/18)+(B57/$C$2))</f>
        <v>0.0774681267403398</v>
      </c>
      <c r="D57" s="0" t="n">
        <f aca="false">(0.00451*A57)-1.7651</f>
        <v>2.9253</v>
      </c>
      <c r="E57" s="0" t="n">
        <f aca="false">D57-($H$1*C57)</f>
        <v>2.76106757131048</v>
      </c>
      <c r="F57" s="0" t="n">
        <f aca="false">D57+($H$1*C57)</f>
        <v>3.08953242868952</v>
      </c>
    </row>
    <row r="58" customFormat="false" ht="15" hidden="false" customHeight="false" outlineLevel="0" collapsed="false">
      <c r="A58" s="0" t="n">
        <f aca="false">A57+20</f>
        <v>1060</v>
      </c>
      <c r="B58" s="0" t="n">
        <f aca="false">(A58-$B$2)^2</f>
        <v>36100</v>
      </c>
      <c r="C58" s="0" t="n">
        <f aca="false">$D$2*SQRT(1+(1/18)+(B58/$C$2))</f>
        <v>0.0774065169590494</v>
      </c>
      <c r="D58" s="0" t="n">
        <f aca="false">(0.00451*A58)-1.7651</f>
        <v>3.0155</v>
      </c>
      <c r="E58" s="0" t="n">
        <f aca="false">D58-($H$1*C58)</f>
        <v>2.85139818404682</v>
      </c>
      <c r="F58" s="0" t="n">
        <f aca="false">D58+($H$1*C58)</f>
        <v>3.17960181595318</v>
      </c>
    </row>
    <row r="59" customFormat="false" ht="15" hidden="false" customHeight="false" outlineLevel="0" collapsed="false">
      <c r="A59" s="0" t="n">
        <f aca="false">A58+20</f>
        <v>1080</v>
      </c>
      <c r="B59" s="0" t="n">
        <f aca="false">(A59-$B$2)^2</f>
        <v>28900</v>
      </c>
      <c r="C59" s="0" t="n">
        <f aca="false">$D$2*SQRT(1+(1/18)+(B59/$C$2))</f>
        <v>0.077351026199388</v>
      </c>
      <c r="D59" s="0" t="n">
        <f aca="false">(0.00451*A59)-1.7651</f>
        <v>3.1057</v>
      </c>
      <c r="E59" s="0" t="n">
        <f aca="false">D59-($H$1*C59)</f>
        <v>2.9417158244573</v>
      </c>
      <c r="F59" s="0" t="n">
        <f aca="false">D59+($H$1*C59)</f>
        <v>3.2696841755427</v>
      </c>
    </row>
    <row r="60" customFormat="false" ht="15" hidden="false" customHeight="false" outlineLevel="0" collapsed="false">
      <c r="A60" s="0" t="n">
        <f aca="false">A59+20</f>
        <v>1100</v>
      </c>
      <c r="B60" s="0" t="n">
        <f aca="false">(A60-$B$2)^2</f>
        <v>22500</v>
      </c>
      <c r="C60" s="0" t="n">
        <f aca="false">$D$2*SQRT(1+(1/18)+(B60/$C$2))</f>
        <v>0.0773016676389184</v>
      </c>
      <c r="D60" s="0" t="n">
        <f aca="false">(0.00451*A60)-1.7651</f>
        <v>3.1959</v>
      </c>
      <c r="E60" s="0" t="n">
        <f aca="false">D60-($H$1*C60)</f>
        <v>3.03202046460549</v>
      </c>
      <c r="F60" s="0" t="n">
        <f aca="false">D60+($H$1*C60)</f>
        <v>3.35977953539451</v>
      </c>
    </row>
    <row r="61" customFormat="false" ht="15" hidden="false" customHeight="false" outlineLevel="0" collapsed="false">
      <c r="A61" s="0" t="n">
        <f aca="false">A60+20</f>
        <v>1120</v>
      </c>
      <c r="B61" s="0" t="n">
        <f aca="false">(A61-$B$2)^2</f>
        <v>16900</v>
      </c>
      <c r="C61" s="0" t="n">
        <f aca="false">$D$2*SQRT(1+(1/18)+(B61/$C$2))</f>
        <v>0.0772584530307834</v>
      </c>
      <c r="D61" s="0" t="n">
        <f aca="false">(0.00451*A61)-1.7651</f>
        <v>3.2861</v>
      </c>
      <c r="E61" s="0" t="n">
        <f aca="false">D61-($H$1*C61)</f>
        <v>3.12231207957474</v>
      </c>
      <c r="F61" s="0" t="n">
        <f aca="false">D61+($H$1*C61)</f>
        <v>3.44988792042526</v>
      </c>
    </row>
    <row r="62" customFormat="false" ht="15" hidden="false" customHeight="false" outlineLevel="0" collapsed="false">
      <c r="A62" s="0" t="n">
        <f aca="false">A61+20</f>
        <v>1140</v>
      </c>
      <c r="B62" s="0" t="n">
        <f aca="false">(A62-$B$2)^2</f>
        <v>12100</v>
      </c>
      <c r="C62" s="0" t="n">
        <f aca="false">$D$2*SQRT(1+(1/18)+(B62/$C$2))</f>
        <v>0.077221392689813</v>
      </c>
      <c r="D62" s="0" t="n">
        <f aca="false">(0.00451*A62)-1.7651</f>
        <v>3.3763</v>
      </c>
      <c r="E62" s="0" t="n">
        <f aca="false">D62-($H$1*C62)</f>
        <v>3.2125906474976</v>
      </c>
      <c r="F62" s="0" t="n">
        <f aca="false">D62+($H$1*C62)</f>
        <v>3.5400093525024</v>
      </c>
    </row>
    <row r="63" customFormat="false" ht="15" hidden="false" customHeight="false" outlineLevel="0" collapsed="false">
      <c r="A63" s="0" t="n">
        <f aca="false">A62+20</f>
        <v>1160</v>
      </c>
      <c r="B63" s="0" t="n">
        <f aca="false">(A63-$B$2)^2</f>
        <v>8100</v>
      </c>
      <c r="C63" s="0" t="n">
        <f aca="false">$D$2*SQRT(1+(1/18)+(B63/$C$2))</f>
        <v>0.077190495480282</v>
      </c>
      <c r="D63" s="0" t="n">
        <f aca="false">(0.00451*A63)-1.7651</f>
        <v>3.4665</v>
      </c>
      <c r="E63" s="0" t="n">
        <f aca="false">D63-($H$1*C63)</f>
        <v>3.3028561495818</v>
      </c>
      <c r="F63" s="0" t="n">
        <f aca="false">D63+($H$1*C63)</f>
        <v>3.6301438504182</v>
      </c>
    </row>
    <row r="64" customFormat="false" ht="15" hidden="false" customHeight="false" outlineLevel="0" collapsed="false">
      <c r="A64" s="0" t="n">
        <f aca="false">A63+20</f>
        <v>1180</v>
      </c>
      <c r="B64" s="0" t="n">
        <f aca="false">(A64-$B$2)^2</f>
        <v>4900</v>
      </c>
      <c r="C64" s="0" t="n">
        <f aca="false">$D$2*SQRT(1+(1/18)+(B64/$C$2))</f>
        <v>0.0771657688053526</v>
      </c>
      <c r="D64" s="0" t="n">
        <f aca="false">(0.00451*A64)-1.7651</f>
        <v>3.5567</v>
      </c>
      <c r="E64" s="0" t="n">
        <f aca="false">D64-($H$1*C64)</f>
        <v>3.39310857013265</v>
      </c>
      <c r="F64" s="0" t="n">
        <f aca="false">D64+($H$1*C64)</f>
        <v>3.72029142986735</v>
      </c>
    </row>
    <row r="65" customFormat="false" ht="15" hidden="false" customHeight="false" outlineLevel="0" collapsed="false">
      <c r="A65" s="0" t="n">
        <f aca="false">A64+20</f>
        <v>1200</v>
      </c>
      <c r="B65" s="0" t="n">
        <f aca="false">(A65-$B$2)^2</f>
        <v>2500</v>
      </c>
      <c r="C65" s="0" t="n">
        <f aca="false">$D$2*SQRT(1+(1/18)+(B65/$C$2))</f>
        <v>0.077147218598232</v>
      </c>
      <c r="D65" s="0" t="n">
        <f aca="false">(0.00451*A65)-1.7651</f>
        <v>3.6469</v>
      </c>
      <c r="E65" s="0" t="n">
        <f aca="false">D65-($H$1*C65)</f>
        <v>3.48334789657175</v>
      </c>
      <c r="F65" s="0" t="n">
        <f aca="false">D65+($H$1*C65)</f>
        <v>3.81045210342825</v>
      </c>
    </row>
    <row r="66" customFormat="false" ht="15" hidden="false" customHeight="false" outlineLevel="0" collapsed="false">
      <c r="A66" s="0" t="n">
        <f aca="false">A65+20</f>
        <v>1220</v>
      </c>
      <c r="B66" s="0" t="n">
        <f aca="false">(A66-$B$2)^2</f>
        <v>900</v>
      </c>
      <c r="C66" s="0" t="n">
        <f aca="false">$D$2*SQRT(1+(1/18)+(B66/$C$2))</f>
        <v>0.077134849315068</v>
      </c>
      <c r="D66" s="0" t="n">
        <f aca="false">(0.00451*A66)-1.7651</f>
        <v>3.7371</v>
      </c>
      <c r="E66" s="0" t="n">
        <f aca="false">D66-($H$1*C66)</f>
        <v>3.57357411945206</v>
      </c>
      <c r="F66" s="0" t="n">
        <f aca="false">D66+($H$1*C66)</f>
        <v>3.90062588054794</v>
      </c>
    </row>
    <row r="67" customFormat="false" ht="15" hidden="false" customHeight="false" outlineLevel="0" collapsed="false">
      <c r="A67" s="0" t="n">
        <f aca="false">A66+20</f>
        <v>1240</v>
      </c>
      <c r="B67" s="0" t="n">
        <f aca="false">(A67-$B$2)^2</f>
        <v>100</v>
      </c>
      <c r="C67" s="0" t="n">
        <f aca="false">$D$2*SQRT(1+(1/18)+(B67/$C$2))</f>
        <v>0.0771286639296032</v>
      </c>
      <c r="D67" s="0" t="n">
        <f aca="false">(0.00451*A67)-1.7651</f>
        <v>3.8273</v>
      </c>
      <c r="E67" s="0" t="n">
        <f aca="false">D67-($H$1*C67)</f>
        <v>3.66378723246924</v>
      </c>
      <c r="F67" s="0" t="n">
        <f aca="false">D67+($H$1*C67)</f>
        <v>3.99081276753076</v>
      </c>
    </row>
    <row r="68" customFormat="false" ht="15" hidden="false" customHeight="false" outlineLevel="0" collapsed="false">
      <c r="A68" s="0" t="n">
        <f aca="false">A67+20</f>
        <v>1260</v>
      </c>
      <c r="B68" s="0" t="n">
        <f aca="false">(A68-$B$2)^2</f>
        <v>100</v>
      </c>
      <c r="C68" s="0" t="n">
        <f aca="false">$D$2*SQRT(1+(1/18)+(B68/$C$2))</f>
        <v>0.0771286639296032</v>
      </c>
      <c r="D68" s="0" t="n">
        <f aca="false">(0.00451*A68)-1.7651</f>
        <v>3.9175</v>
      </c>
      <c r="E68" s="0" t="n">
        <f aca="false">D68-($H$1*C68)</f>
        <v>3.75398723246924</v>
      </c>
      <c r="F68" s="0" t="n">
        <f aca="false">D68+($H$1*C68)</f>
        <v>4.08101276753076</v>
      </c>
    </row>
    <row r="69" customFormat="false" ht="15" hidden="false" customHeight="false" outlineLevel="0" collapsed="false">
      <c r="A69" s="0" t="n">
        <f aca="false">A68+20</f>
        <v>1280</v>
      </c>
      <c r="B69" s="0" t="n">
        <f aca="false">(A69-$B$2)^2</f>
        <v>900</v>
      </c>
      <c r="C69" s="0" t="n">
        <f aca="false">$D$2*SQRT(1+(1/18)+(B69/$C$2))</f>
        <v>0.077134849315068</v>
      </c>
      <c r="D69" s="0" t="n">
        <f aca="false">(0.00451*A69)-1.7651</f>
        <v>4.0077</v>
      </c>
      <c r="E69" s="0" t="n">
        <f aca="false">D69-($H$1*C69)</f>
        <v>3.84417411945206</v>
      </c>
      <c r="F69" s="0" t="n">
        <f aca="false">D69+($H$1*C69)</f>
        <v>4.17122588054794</v>
      </c>
    </row>
    <row r="70" customFormat="false" ht="15" hidden="false" customHeight="false" outlineLevel="0" collapsed="false">
      <c r="A70" s="0" t="n">
        <f aca="false">A69+20</f>
        <v>1300</v>
      </c>
      <c r="B70" s="0" t="n">
        <f aca="false">(A70-$B$2)^2</f>
        <v>2500</v>
      </c>
      <c r="C70" s="0" t="n">
        <f aca="false">$D$2*SQRT(1+(1/18)+(B70/$C$2))</f>
        <v>0.077147218598232</v>
      </c>
      <c r="D70" s="0" t="n">
        <f aca="false">(0.00451*A70)-1.7651</f>
        <v>4.0979</v>
      </c>
      <c r="E70" s="0" t="n">
        <f aca="false">D70-($H$1*C70)</f>
        <v>3.93434789657175</v>
      </c>
      <c r="F70" s="0" t="n">
        <f aca="false">D70+($H$1*C70)</f>
        <v>4.26145210342825</v>
      </c>
    </row>
    <row r="71" customFormat="false" ht="15" hidden="false" customHeight="false" outlineLevel="0" collapsed="false">
      <c r="A71" s="0" t="n">
        <f aca="false">A70+20</f>
        <v>1320</v>
      </c>
      <c r="B71" s="0" t="n">
        <f aca="false">(A71-$B$2)^2</f>
        <v>4900</v>
      </c>
      <c r="C71" s="0" t="n">
        <f aca="false">$D$2*SQRT(1+(1/18)+(B71/$C$2))</f>
        <v>0.0771657688053526</v>
      </c>
      <c r="D71" s="0" t="n">
        <f aca="false">(0.00451*A71)-1.7651</f>
        <v>4.1881</v>
      </c>
      <c r="E71" s="0" t="n">
        <f aca="false">D71-($H$1*C71)</f>
        <v>4.02450857013265</v>
      </c>
      <c r="F71" s="0" t="n">
        <f aca="false">D71+($H$1*C71)</f>
        <v>4.35169142986735</v>
      </c>
    </row>
    <row r="72" customFormat="false" ht="15" hidden="false" customHeight="false" outlineLevel="0" collapsed="false">
      <c r="A72" s="0" t="n">
        <f aca="false">A71+20</f>
        <v>1340</v>
      </c>
      <c r="B72" s="0" t="n">
        <f aca="false">(A72-$B$2)^2</f>
        <v>8100</v>
      </c>
      <c r="C72" s="0" t="n">
        <f aca="false">$D$2*SQRT(1+(1/18)+(B72/$C$2))</f>
        <v>0.077190495480282</v>
      </c>
      <c r="D72" s="0" t="n">
        <f aca="false">(0.00451*A72)-1.7651</f>
        <v>4.2783</v>
      </c>
      <c r="E72" s="0" t="n">
        <f aca="false">D72-($H$1*C72)</f>
        <v>4.1146561495818</v>
      </c>
      <c r="F72" s="0" t="n">
        <f aca="false">D72+($H$1*C72)</f>
        <v>4.4419438504182</v>
      </c>
    </row>
    <row r="73" customFormat="false" ht="15" hidden="false" customHeight="false" outlineLevel="0" collapsed="false">
      <c r="A73" s="0" t="n">
        <f aca="false">A72+20</f>
        <v>1360</v>
      </c>
      <c r="B73" s="0" t="n">
        <f aca="false">(A73-$B$2)^2</f>
        <v>12100</v>
      </c>
      <c r="C73" s="0" t="n">
        <f aca="false">$D$2*SQRT(1+(1/18)+(B73/$C$2))</f>
        <v>0.077221392689813</v>
      </c>
      <c r="D73" s="0" t="n">
        <f aca="false">(0.00451*A73)-1.7651</f>
        <v>4.3685</v>
      </c>
      <c r="E73" s="0" t="n">
        <f aca="false">D73-($H$1*C73)</f>
        <v>4.2047906474976</v>
      </c>
      <c r="F73" s="0" t="n">
        <f aca="false">D73+($H$1*C73)</f>
        <v>4.53220935250241</v>
      </c>
    </row>
    <row r="74" customFormat="false" ht="15" hidden="false" customHeight="false" outlineLevel="0" collapsed="false">
      <c r="A74" s="0" t="n">
        <f aca="false">A73+20</f>
        <v>1380</v>
      </c>
      <c r="B74" s="0" t="n">
        <f aca="false">(A74-$B$2)^2</f>
        <v>16900</v>
      </c>
      <c r="C74" s="0" t="n">
        <f aca="false">$D$2*SQRT(1+(1/18)+(B74/$C$2))</f>
        <v>0.0772584530307834</v>
      </c>
      <c r="D74" s="0" t="n">
        <f aca="false">(0.00451*A74)-1.7651</f>
        <v>4.4587</v>
      </c>
      <c r="E74" s="0" t="n">
        <f aca="false">D74-($H$1*C74)</f>
        <v>4.29491207957474</v>
      </c>
      <c r="F74" s="0" t="n">
        <f aca="false">D74+($H$1*C74)</f>
        <v>4.62248792042526</v>
      </c>
    </row>
    <row r="75" customFormat="false" ht="15" hidden="false" customHeight="false" outlineLevel="0" collapsed="false">
      <c r="A75" s="0" t="n">
        <f aca="false">A74+20</f>
        <v>1400</v>
      </c>
      <c r="B75" s="0" t="n">
        <f aca="false">(A75-$B$2)^2</f>
        <v>22500</v>
      </c>
      <c r="C75" s="0" t="n">
        <f aca="false">$D$2*SQRT(1+(1/18)+(B75/$C$2))</f>
        <v>0.0773016676389184</v>
      </c>
      <c r="D75" s="0" t="n">
        <f aca="false">(0.00451*A75)-1.7651</f>
        <v>4.5489</v>
      </c>
      <c r="E75" s="0" t="n">
        <f aca="false">D75-($H$1*C75)</f>
        <v>4.38502046460549</v>
      </c>
      <c r="F75" s="0" t="n">
        <f aca="false">D75+($H$1*C75)</f>
        <v>4.71277953539451</v>
      </c>
    </row>
    <row r="76" customFormat="false" ht="15" hidden="false" customHeight="false" outlineLevel="0" collapsed="false">
      <c r="A76" s="0" t="n">
        <f aca="false">A75+20</f>
        <v>1420</v>
      </c>
      <c r="B76" s="0" t="n">
        <f aca="false">(A76-$B$2)^2</f>
        <v>28900</v>
      </c>
      <c r="C76" s="0" t="n">
        <f aca="false">$D$2*SQRT(1+(1/18)+(B76/$C$2))</f>
        <v>0.077351026199388</v>
      </c>
      <c r="D76" s="0" t="n">
        <f aca="false">(0.00451*A76)-1.7651</f>
        <v>4.6391</v>
      </c>
      <c r="E76" s="0" t="n">
        <f aca="false">D76-($H$1*C76)</f>
        <v>4.4751158244573</v>
      </c>
      <c r="F76" s="0" t="n">
        <f aca="false">D76+($H$1*C76)</f>
        <v>4.8030841755427</v>
      </c>
    </row>
    <row r="77" customFormat="false" ht="15" hidden="false" customHeight="false" outlineLevel="0" collapsed="false">
      <c r="A77" s="0" t="n">
        <f aca="false">A76+20</f>
        <v>1440</v>
      </c>
      <c r="B77" s="0" t="n">
        <f aca="false">(A77-$B$2)^2</f>
        <v>36100</v>
      </c>
      <c r="C77" s="0" t="n">
        <f aca="false">$D$2*SQRT(1+(1/18)+(B77/$C$2))</f>
        <v>0.0774065169590494</v>
      </c>
      <c r="D77" s="0" t="n">
        <f aca="false">(0.00451*A77)-1.7651</f>
        <v>4.7293</v>
      </c>
      <c r="E77" s="0" t="n">
        <f aca="false">D77-($H$1*C77)</f>
        <v>4.56519818404682</v>
      </c>
      <c r="F77" s="0" t="n">
        <f aca="false">D77+($H$1*C77)</f>
        <v>4.89340181595319</v>
      </c>
    </row>
    <row r="78" customFormat="false" ht="15" hidden="false" customHeight="false" outlineLevel="0" collapsed="false">
      <c r="A78" s="0" t="n">
        <f aca="false">A77+20</f>
        <v>1460</v>
      </c>
      <c r="B78" s="0" t="n">
        <f aca="false">(A78-$B$2)^2</f>
        <v>44100</v>
      </c>
      <c r="C78" s="0" t="n">
        <f aca="false">$D$2*SQRT(1+(1/18)+(B78/$C$2))</f>
        <v>0.0774681267403398</v>
      </c>
      <c r="D78" s="0" t="n">
        <f aca="false">(0.00451*A78)-1.7651</f>
        <v>4.8195</v>
      </c>
      <c r="E78" s="0" t="n">
        <f aca="false">D78-($H$1*C78)</f>
        <v>4.65526757131048</v>
      </c>
      <c r="F78" s="0" t="n">
        <f aca="false">D78+($H$1*C78)</f>
        <v>4.98373242868952</v>
      </c>
    </row>
    <row r="79" customFormat="false" ht="15" hidden="false" customHeight="false" outlineLevel="0" collapsed="false">
      <c r="A79" s="0" t="n">
        <f aca="false">A78+20</f>
        <v>1480</v>
      </c>
      <c r="B79" s="0" t="n">
        <f aca="false">(A79-$B$2)^2</f>
        <v>52900</v>
      </c>
      <c r="C79" s="0" t="n">
        <f aca="false">$D$2*SQRT(1+(1/18)+(B79/$C$2))</f>
        <v>0.0775358409567839</v>
      </c>
      <c r="D79" s="0" t="n">
        <f aca="false">(0.00451*A79)-1.7651</f>
        <v>4.9097</v>
      </c>
      <c r="E79" s="0" t="n">
        <f aca="false">D79-($H$1*C79)</f>
        <v>4.74532401717162</v>
      </c>
      <c r="F79" s="0" t="n">
        <f aca="false">D79+($H$1*C79)</f>
        <v>5.07407598282838</v>
      </c>
    </row>
    <row r="80" customFormat="false" ht="15" hidden="false" customHeight="false" outlineLevel="0" collapsed="false">
      <c r="A80" s="0" t="n">
        <f aca="false">A79+20</f>
        <v>1500</v>
      </c>
      <c r="B80" s="0" t="n">
        <f aca="false">(A80-$B$2)^2</f>
        <v>62500</v>
      </c>
      <c r="C80" s="0" t="n">
        <f aca="false">$D$2*SQRT(1+(1/18)+(B80/$C$2))</f>
        <v>0.0776096436300709</v>
      </c>
      <c r="D80" s="0" t="n">
        <f aca="false">(0.00451*A80)-1.7651</f>
        <v>4.9999</v>
      </c>
      <c r="E80" s="0" t="n">
        <f aca="false">D80-($H$1*C80)</f>
        <v>4.83536755550425</v>
      </c>
      <c r="F80" s="0" t="n">
        <f aca="false">D80+($H$1*C80)</f>
        <v>5.16443244449575</v>
      </c>
    </row>
    <row r="81" customFormat="false" ht="15" hidden="false" customHeight="false" outlineLevel="0" collapsed="false">
      <c r="A81" s="0" t="n">
        <f aca="false">A80+20</f>
        <v>1520</v>
      </c>
      <c r="B81" s="0" t="n">
        <f aca="false">(A81-$B$2)^2</f>
        <v>72900</v>
      </c>
      <c r="C81" s="0" t="n">
        <f aca="false">$D$2*SQRT(1+(1/18)+(B81/$C$2))</f>
        <v>0.0776895174086575</v>
      </c>
      <c r="D81" s="0" t="n">
        <f aca="false">(0.00451*A81)-1.7651</f>
        <v>5.0901</v>
      </c>
      <c r="E81" s="0" t="n">
        <f aca="false">D81-($H$1*C81)</f>
        <v>4.92539822309365</v>
      </c>
      <c r="F81" s="0" t="n">
        <f aca="false">D81+($H$1*C81)</f>
        <v>5.25480177690635</v>
      </c>
    </row>
    <row r="82" customFormat="false" ht="15" hidden="false" customHeight="false" outlineLevel="0" collapsed="false">
      <c r="A82" s="0" t="n">
        <f aca="false">A81+20</f>
        <v>1540</v>
      </c>
      <c r="B82" s="0" t="n">
        <f aca="false">(A82-$B$2)^2</f>
        <v>84100</v>
      </c>
      <c r="C82" s="0" t="n">
        <f aca="false">$D$2*SQRT(1+(1/18)+(B82/$C$2))</f>
        <v>0.0777754435878457</v>
      </c>
      <c r="D82" s="0" t="n">
        <f aca="false">(0.00451*A82)-1.7651</f>
        <v>5.1803</v>
      </c>
      <c r="E82" s="0" t="n">
        <f aca="false">D82-($H$1*C82)</f>
        <v>5.01541605959377</v>
      </c>
      <c r="F82" s="0" t="n">
        <f aca="false">D82+($H$1*C82)</f>
        <v>5.34518394040623</v>
      </c>
    </row>
    <row r="83" customFormat="false" ht="15" hidden="false" customHeight="false" outlineLevel="0" collapsed="false">
      <c r="A83" s="0" t="n">
        <f aca="false">A82+20</f>
        <v>1560</v>
      </c>
      <c r="B83" s="0" t="n">
        <f aca="false">(A83-$B$2)^2</f>
        <v>96100</v>
      </c>
      <c r="C83" s="0" t="n">
        <f aca="false">$D$2*SQRT(1+(1/18)+(B83/$C$2))</f>
        <v>0.0778674021312821</v>
      </c>
      <c r="D83" s="0" t="n">
        <f aca="false">(0.00451*A83)-1.7651</f>
        <v>5.2705</v>
      </c>
      <c r="E83" s="0" t="n">
        <f aca="false">D83-($H$1*C83)</f>
        <v>5.10542110748168</v>
      </c>
      <c r="F83" s="0" t="n">
        <f aca="false">D83+($H$1*C83)</f>
        <v>5.43557889251832</v>
      </c>
    </row>
    <row r="84" customFormat="false" ht="15" hidden="false" customHeight="false" outlineLevel="0" collapsed="false">
      <c r="A84" s="0" t="n">
        <f aca="false">A83+20</f>
        <v>1580</v>
      </c>
      <c r="B84" s="0" t="n">
        <f aca="false">(A84-$B$2)^2</f>
        <v>108900</v>
      </c>
      <c r="C84" s="0" t="n">
        <f aca="false">$D$2*SQRT(1+(1/18)+(B84/$C$2))</f>
        <v>0.0779653716938233</v>
      </c>
      <c r="D84" s="0" t="n">
        <f aca="false">(0.00451*A84)-1.7651</f>
        <v>5.3607</v>
      </c>
      <c r="E84" s="0" t="n">
        <f aca="false">D84-($H$1*C84)</f>
        <v>5.19541341200909</v>
      </c>
      <c r="F84" s="0" t="n">
        <f aca="false">D84+($H$1*C84)</f>
        <v>5.52598658799091</v>
      </c>
    </row>
    <row r="85" customFormat="false" ht="15" hidden="false" customHeight="false" outlineLevel="0" collapsed="false">
      <c r="A85" s="0" t="n">
        <f aca="false">A84+20</f>
        <v>1600</v>
      </c>
      <c r="B85" s="0" t="n">
        <f aca="false">(A85-$B$2)^2</f>
        <v>122500</v>
      </c>
      <c r="C85" s="0" t="n">
        <f aca="false">$D$2*SQRT(1+(1/18)+(B85/$C$2))</f>
        <v>0.0780693296457054</v>
      </c>
      <c r="D85" s="0" t="n">
        <f aca="false">(0.00451*A85)-1.7651</f>
        <v>5.4509</v>
      </c>
      <c r="E85" s="0" t="n">
        <f aca="false">D85-($H$1*C85)</f>
        <v>5.28539302115111</v>
      </c>
      <c r="F85" s="0" t="n">
        <f aca="false">D85+($H$1*C85)</f>
        <v>5.6164069788489</v>
      </c>
    </row>
    <row r="86" customFormat="false" ht="15" hidden="false" customHeight="false" outlineLevel="0" collapsed="false">
      <c r="A86" s="0" t="n">
        <f aca="false">A85+20</f>
        <v>1620</v>
      </c>
      <c r="B86" s="0" t="n">
        <f aca="false">(A86-$B$2)^2</f>
        <v>136900</v>
      </c>
      <c r="C86" s="0" t="n">
        <f aca="false">$D$2*SQRT(1+(1/18)+(B86/$C$2))</f>
        <v>0.0781792520979587</v>
      </c>
      <c r="D86" s="0" t="n">
        <f aca="false">(0.00451*A86)-1.7651</f>
        <v>5.5411</v>
      </c>
      <c r="E86" s="0" t="n">
        <f aca="false">D86-($H$1*C86)</f>
        <v>5.37535998555233</v>
      </c>
      <c r="F86" s="0" t="n">
        <f aca="false">D86+($H$1*C86)</f>
        <v>5.70684001444767</v>
      </c>
    </row>
    <row r="87" customFormat="false" ht="15" hidden="false" customHeight="false" outlineLevel="0" collapsed="false">
      <c r="A87" s="0" t="n">
        <f aca="false">A86+20</f>
        <v>1640</v>
      </c>
      <c r="B87" s="0" t="n">
        <f aca="false">(A87-$B$2)^2</f>
        <v>152100</v>
      </c>
      <c r="C87" s="0" t="n">
        <f aca="false">$D$2*SQRT(1+(1/18)+(B87/$C$2))</f>
        <v>0.0782951139290002</v>
      </c>
      <c r="D87" s="0" t="n">
        <f aca="false">(0.00451*A87)-1.7651</f>
        <v>5.6313</v>
      </c>
      <c r="E87" s="0" t="n">
        <f aca="false">D87-($H$1*C87)</f>
        <v>5.46531435847052</v>
      </c>
      <c r="F87" s="0" t="n">
        <f aca="false">D87+($H$1*C87)</f>
        <v>5.79728564152948</v>
      </c>
    </row>
    <row r="88" customFormat="false" ht="15" hidden="false" customHeight="false" outlineLevel="0" collapsed="false">
      <c r="A88" s="0" t="n">
        <f aca="false">A87+20</f>
        <v>1660</v>
      </c>
      <c r="B88" s="0" t="n">
        <f aca="false">(A88-$B$2)^2</f>
        <v>168100</v>
      </c>
      <c r="C88" s="0" t="n">
        <f aca="false">$D$2*SQRT(1+(1/18)+(B88/$C$2))</f>
        <v>0.0784168888123385</v>
      </c>
      <c r="D88" s="0" t="n">
        <f aca="false">(0.00451*A88)-1.7651</f>
        <v>5.7215</v>
      </c>
      <c r="E88" s="0" t="n">
        <f aca="false">D88-($H$1*C88)</f>
        <v>5.55525619571784</v>
      </c>
      <c r="F88" s="0" t="n">
        <f aca="false">D88+($H$1*C88)</f>
        <v>5.88774380428216</v>
      </c>
    </row>
    <row r="89" customFormat="false" ht="15" hidden="false" customHeight="false" outlineLevel="0" collapsed="false">
      <c r="A89" s="0" t="n">
        <f aca="false">A88+20</f>
        <v>1680</v>
      </c>
      <c r="B89" s="0" t="n">
        <f aca="false">(A89-$B$2)^2</f>
        <v>184900</v>
      </c>
      <c r="C89" s="0" t="n">
        <f aca="false">$D$2*SQRT(1+(1/18)+(B89/$C$2))</f>
        <v>0.0785445492453216</v>
      </c>
      <c r="D89" s="0" t="n">
        <f aca="false">(0.00451*A89)-1.7651</f>
        <v>5.8117</v>
      </c>
      <c r="E89" s="0" t="n">
        <f aca="false">D89-($H$1*C89)</f>
        <v>5.64518555559992</v>
      </c>
      <c r="F89" s="0" t="n">
        <f aca="false">D89+($H$1*C89)</f>
        <v>5.97821444440008</v>
      </c>
    </row>
    <row r="90" customFormat="false" ht="15" hidden="false" customHeight="false" outlineLevel="0" collapsed="false">
      <c r="A90" s="0" t="n">
        <f aca="false">A89+20</f>
        <v>1700</v>
      </c>
      <c r="B90" s="0" t="n">
        <f aca="false">(A90-$B$2)^2</f>
        <v>202500</v>
      </c>
      <c r="C90" s="0" t="n">
        <f aca="false">$D$2*SQRT(1+(1/18)+(B90/$C$2))</f>
        <v>0.0786780665788593</v>
      </c>
      <c r="D90" s="0" t="n">
        <f aca="false">(0.00451*A90)-1.7651</f>
        <v>5.9019</v>
      </c>
      <c r="E90" s="0" t="n">
        <f aca="false">D90-($H$1*C90)</f>
        <v>5.73510249885282</v>
      </c>
      <c r="F90" s="0" t="n">
        <f aca="false">D90+($H$1*C90)</f>
        <v>6.06869750114718</v>
      </c>
    </row>
    <row r="91" customFormat="false" ht="15" hidden="false" customHeight="false" outlineLevel="0" collapsed="false">
      <c r="A91" s="0" t="n">
        <f aca="false">A90+20</f>
        <v>1720</v>
      </c>
      <c r="B91" s="0" t="n">
        <f aca="false">(A91-$B$2)^2</f>
        <v>220900</v>
      </c>
      <c r="C91" s="0" t="n">
        <f aca="false">$D$2*SQRT(1+(1/18)+(B91/$C$2))</f>
        <v>0.0788174110480462</v>
      </c>
      <c r="D91" s="0" t="n">
        <f aca="false">(0.00451*A91)-1.7651</f>
        <v>5.9921</v>
      </c>
      <c r="E91" s="0" t="n">
        <f aca="false">D91-($H$1*C91)</f>
        <v>5.82500708857814</v>
      </c>
      <c r="F91" s="0" t="n">
        <f aca="false">D91+($H$1*C91)</f>
        <v>6.15919291142186</v>
      </c>
    </row>
    <row r="92" customFormat="false" ht="15" hidden="false" customHeight="false" outlineLevel="0" collapsed="false">
      <c r="A92" s="0" t="n">
        <f aca="false">A91+20</f>
        <v>1740</v>
      </c>
      <c r="B92" s="0" t="n">
        <f aca="false">(A92-$B$2)^2</f>
        <v>240100</v>
      </c>
      <c r="C92" s="0" t="n">
        <f aca="false">$D$2*SQRT(1+(1/18)+(B92/$C$2))</f>
        <v>0.0789625518036145</v>
      </c>
      <c r="D92" s="0" t="n">
        <f aca="false">(0.00451*A92)-1.7651</f>
        <v>6.0823</v>
      </c>
      <c r="E92" s="0" t="n">
        <f aca="false">D92-($H$1*C92)</f>
        <v>5.91489939017634</v>
      </c>
      <c r="F92" s="0" t="n">
        <f aca="false">D92+($H$1*C92)</f>
        <v>6.24970060982366</v>
      </c>
    </row>
    <row r="93" customFormat="false" ht="15" hidden="false" customHeight="false" outlineLevel="0" collapsed="false">
      <c r="A93" s="0" t="n">
        <f aca="false">A92+20</f>
        <v>1760</v>
      </c>
      <c r="B93" s="0" t="n">
        <f aca="false">(A93-$B$2)^2</f>
        <v>260100</v>
      </c>
      <c r="C93" s="0" t="n">
        <f aca="false">$D$2*SQRT(1+(1/18)+(B93/$C$2))</f>
        <v>0.0791134569441439</v>
      </c>
      <c r="D93" s="0" t="n">
        <f aca="false">(0.00451*A93)-1.7651</f>
        <v>6.1725</v>
      </c>
      <c r="E93" s="0" t="n">
        <f aca="false">D93-($H$1*C93)</f>
        <v>6.00477947127842</v>
      </c>
      <c r="F93" s="0" t="n">
        <f aca="false">D93+($H$1*C93)</f>
        <v>6.34022052872158</v>
      </c>
    </row>
    <row r="94" customFormat="false" ht="15" hidden="false" customHeight="false" outlineLevel="0" collapsed="false">
      <c r="A94" s="0" t="n">
        <f aca="false">A93+20</f>
        <v>1780</v>
      </c>
      <c r="B94" s="0" t="n">
        <f aca="false">(A94-$B$2)^2</f>
        <v>280900</v>
      </c>
      <c r="C94" s="0" t="n">
        <f aca="false">$D$2*SQRT(1+(1/18)+(B94/$C$2))</f>
        <v>0.0792700935489538</v>
      </c>
      <c r="D94" s="0" t="n">
        <f aca="false">(0.00451*A94)-1.7651</f>
        <v>6.2627</v>
      </c>
      <c r="E94" s="0" t="n">
        <f aca="false">D94-($H$1*C94)</f>
        <v>6.09464740167622</v>
      </c>
      <c r="F94" s="0" t="n">
        <f aca="false">D94+($H$1*C94)</f>
        <v>6.43075259832378</v>
      </c>
    </row>
    <row r="95" customFormat="false" ht="15" hidden="false" customHeight="false" outlineLevel="0" collapsed="false">
      <c r="A95" s="0" t="n">
        <f aca="false">A94+20</f>
        <v>1800</v>
      </c>
      <c r="B95" s="0" t="n">
        <f aca="false">(A95-$B$2)^2</f>
        <v>302500</v>
      </c>
      <c r="C95" s="0" t="n">
        <f aca="false">$D$2*SQRT(1+(1/18)+(B95/$C$2))</f>
        <v>0.0794324277116055</v>
      </c>
      <c r="D95" s="0" t="n">
        <f aca="false">(0.00451*A95)-1.7651</f>
        <v>6.3529</v>
      </c>
      <c r="E95" s="0" t="n">
        <f aca="false">D95-($H$1*C95)</f>
        <v>6.1845032532514</v>
      </c>
      <c r="F95" s="0" t="n">
        <f aca="false">D95+($H$1*C95)</f>
        <v>6.5212967467486</v>
      </c>
    </row>
    <row r="96" customFormat="false" ht="15" hidden="false" customHeight="false" outlineLevel="0" collapsed="false">
      <c r="A96" s="0" t="n">
        <f aca="false">A95+20</f>
        <v>1820</v>
      </c>
      <c r="B96" s="0" t="n">
        <f aca="false">(A96-$B$2)^2</f>
        <v>324900</v>
      </c>
      <c r="C96" s="0" t="n">
        <f aca="false">$D$2*SQRT(1+(1/18)+(B96/$C$2))</f>
        <v>0.0796004245739403</v>
      </c>
      <c r="D96" s="0" t="n">
        <f aca="false">(0.00451*A96)-1.7651</f>
        <v>6.4431</v>
      </c>
      <c r="E96" s="0" t="n">
        <f aca="false">D96-($H$1*C96)</f>
        <v>6.27434709990325</v>
      </c>
      <c r="F96" s="0" t="n">
        <f aca="false">D96+($H$1*C96)</f>
        <v>6.61185290009675</v>
      </c>
    </row>
    <row r="97" customFormat="false" ht="15" hidden="false" customHeight="false" outlineLevel="0" collapsed="false">
      <c r="A97" s="0" t="n">
        <f aca="false">A96+20</f>
        <v>1840</v>
      </c>
      <c r="B97" s="0" t="n">
        <f aca="false">(A97-$B$2)^2</f>
        <v>348100</v>
      </c>
      <c r="C97" s="0" t="n">
        <f aca="false">$D$2*SQRT(1+(1/18)+(B97/$C$2))</f>
        <v>0.0797740483605807</v>
      </c>
      <c r="D97" s="0" t="n">
        <f aca="false">(0.00451*A97)-1.7651</f>
        <v>6.5333</v>
      </c>
      <c r="E97" s="0" t="n">
        <f aca="false">D97-($H$1*C97)</f>
        <v>6.36417901747557</v>
      </c>
      <c r="F97" s="0" t="n">
        <f aca="false">D97+($H$1*C97)</f>
        <v>6.70242098252443</v>
      </c>
    </row>
    <row r="98" customFormat="false" ht="15" hidden="false" customHeight="false" outlineLevel="0" collapsed="false">
      <c r="A98" s="0" t="n">
        <f aca="false">A97+20</f>
        <v>1860</v>
      </c>
      <c r="B98" s="0" t="n">
        <f aca="false">(A98-$B$2)^2</f>
        <v>372100</v>
      </c>
      <c r="C98" s="0" t="n">
        <f aca="false">$D$2*SQRT(1+(1/18)+(B98/$C$2))</f>
        <v>0.0799532624138225</v>
      </c>
      <c r="D98" s="0" t="n">
        <f aca="false">(0.00451*A98)-1.7651</f>
        <v>6.6235</v>
      </c>
      <c r="E98" s="0" t="n">
        <f aca="false">D98-($H$1*C98)</f>
        <v>6.4539990836827</v>
      </c>
      <c r="F98" s="0" t="n">
        <f aca="false">D98+($H$1*C98)</f>
        <v>6.7930009163173</v>
      </c>
    </row>
    <row r="99" customFormat="false" ht="15" hidden="false" customHeight="false" outlineLevel="0" collapsed="false">
      <c r="A99" s="0" t="n">
        <f aca="false">A98+20</f>
        <v>1880</v>
      </c>
      <c r="B99" s="0" t="n">
        <f aca="false">(A99-$B$2)^2</f>
        <v>396900</v>
      </c>
      <c r="C99" s="0" t="n">
        <f aca="false">$D$2*SQRT(1+(1/18)+(B99/$C$2))</f>
        <v>0.0801380292288462</v>
      </c>
      <c r="D99" s="0" t="n">
        <f aca="false">(0.00451*A99)-1.7651</f>
        <v>6.7137</v>
      </c>
      <c r="E99" s="0" t="n">
        <f aca="false">D99-($H$1*C99)</f>
        <v>6.54380737803485</v>
      </c>
      <c r="F99" s="0" t="n">
        <f aca="false">D99+($H$1*C99)</f>
        <v>6.88359262196515</v>
      </c>
    </row>
    <row r="100" customFormat="false" ht="15" hidden="false" customHeight="false" outlineLevel="0" collapsed="false">
      <c r="A100" s="0" t="n">
        <f aca="false">A99+20</f>
        <v>1900</v>
      </c>
      <c r="B100" s="0" t="n">
        <f aca="false">(A100-$B$2)^2</f>
        <v>422500</v>
      </c>
      <c r="C100" s="0" t="n">
        <f aca="false">$D$2*SQRT(1+(1/18)+(B100/$C$2))</f>
        <v>0.0803283104891784</v>
      </c>
      <c r="D100" s="0" t="n">
        <f aca="false">(0.00451*A100)-1.7651</f>
        <v>6.8039</v>
      </c>
      <c r="E100" s="0" t="n">
        <f aca="false">D100-($H$1*C100)</f>
        <v>6.63360398176294</v>
      </c>
      <c r="F100" s="0" t="n">
        <f aca="false">D100+($H$1*C100)</f>
        <v>6.97419601823706</v>
      </c>
    </row>
    <row r="101" customFormat="false" ht="15" hidden="false" customHeight="false" outlineLevel="0" collapsed="false">
      <c r="A101" s="0" t="n">
        <f aca="false">A100+20</f>
        <v>1920</v>
      </c>
      <c r="B101" s="0" t="n">
        <f aca="false">(A101-$B$2)^2</f>
        <v>448900</v>
      </c>
      <c r="C101" s="0" t="n">
        <f aca="false">$D$2*SQRT(1+(1/18)+(B101/$C$2))</f>
        <v>0.080524067102332</v>
      </c>
      <c r="D101" s="0" t="n">
        <f aca="false">(0.00451*A101)-1.7651</f>
        <v>6.8941</v>
      </c>
      <c r="E101" s="0" t="n">
        <f aca="false">D101-($H$1*C101)</f>
        <v>6.72338897774306</v>
      </c>
      <c r="F101" s="0" t="n">
        <f aca="false">D101+($H$1*C101)</f>
        <v>7.06481102225694</v>
      </c>
    </row>
    <row r="102" customFormat="false" ht="15" hidden="false" customHeight="false" outlineLevel="0" collapsed="false">
      <c r="A102" s="0" t="n">
        <f aca="false">A101+20</f>
        <v>1940</v>
      </c>
      <c r="B102" s="0" t="n">
        <f aca="false">(A102-$B$2)^2</f>
        <v>476100</v>
      </c>
      <c r="C102" s="0" t="n">
        <f aca="false">$D$2*SQRT(1+(1/18)+(B102/$C$2))</f>
        <v>0.0807252592355605</v>
      </c>
      <c r="D102" s="0" t="n">
        <f aca="false">(0.00451*A102)-1.7651</f>
        <v>6.9843</v>
      </c>
      <c r="E102" s="0" t="n">
        <f aca="false">D102-($H$1*C102)</f>
        <v>6.81316245042061</v>
      </c>
      <c r="F102" s="0" t="n">
        <f aca="false">D102+($H$1*C102)</f>
        <v>7.15543754957939</v>
      </c>
    </row>
    <row r="103" customFormat="false" ht="15" hidden="false" customHeight="false" outlineLevel="0" collapsed="false">
      <c r="A103" s="0" t="n">
        <f aca="false">A102+20</f>
        <v>1960</v>
      </c>
      <c r="B103" s="0" t="n">
        <f aca="false">(A103-$B$2)^2</f>
        <v>504100</v>
      </c>
      <c r="C103" s="0" t="n">
        <f aca="false">$D$2*SQRT(1+(1/18)+(B103/$C$2))</f>
        <v>0.0809318463516594</v>
      </c>
      <c r="D103" s="0" t="n">
        <f aca="false">(0.00451*A103)-1.7651</f>
        <v>7.0745</v>
      </c>
      <c r="E103" s="0" t="n">
        <f aca="false">D103-($H$1*C103)</f>
        <v>6.90292448573448</v>
      </c>
      <c r="F103" s="0" t="n">
        <f aca="false">D103+($H$1*C103)</f>
        <v>7.24607551426552</v>
      </c>
    </row>
    <row r="104" customFormat="false" ht="15" hidden="false" customHeight="false" outlineLevel="0" collapsed="false">
      <c r="A104" s="0" t="n">
        <f aca="false">A103+20</f>
        <v>1980</v>
      </c>
      <c r="B104" s="0" t="n">
        <f aca="false">(A104-$B$2)^2</f>
        <v>532900</v>
      </c>
      <c r="C104" s="0" t="n">
        <f aca="false">$D$2*SQRT(1+(1/18)+(B104/$C$2))</f>
        <v>0.0811437872447506</v>
      </c>
      <c r="D104" s="0" t="n">
        <f aca="false">(0.00451*A104)-1.7651</f>
        <v>7.1647</v>
      </c>
      <c r="E104" s="0" t="n">
        <f aca="false">D104-($H$1*C104)</f>
        <v>6.99267517104113</v>
      </c>
      <c r="F104" s="0" t="n">
        <f aca="false">D104+($H$1*C104)</f>
        <v>7.33672482895887</v>
      </c>
    </row>
    <row r="105" customFormat="false" ht="15" hidden="false" customHeight="false" outlineLevel="0" collapsed="false">
      <c r="A105" s="0" t="n">
        <f aca="false">A104+20</f>
        <v>2000</v>
      </c>
      <c r="B105" s="0" t="n">
        <f aca="false">(A105-$B$2)^2</f>
        <v>562500</v>
      </c>
      <c r="C105" s="0" t="n">
        <f aca="false">$D$2*SQRT(1+(1/18)+(B105/$C$2))</f>
        <v>0.0813610400759889</v>
      </c>
      <c r="D105" s="0" t="n">
        <f aca="false">(0.00451*A105)-1.7651</f>
        <v>7.2549</v>
      </c>
      <c r="E105" s="0" t="n">
        <f aca="false">D105-($H$1*C105)</f>
        <v>7.0824145950389</v>
      </c>
      <c r="F105" s="0" t="n">
        <f aca="false">D105+($H$1*C105)</f>
        <v>7.4273854049611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2019-10-22T15:42:41Z</dcterms:created>
  <dc:creator>Felipe</dc:creator>
  <dc:description/>
  <dc:language>en-US</dc:language>
  <cp:lastModifiedBy/>
  <dcterms:modified xsi:type="dcterms:W3CDTF">2026-09-21T11:48:29Z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